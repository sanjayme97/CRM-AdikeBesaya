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UPS" sheetId="1" r:id="rId5"/>
    <sheet state="visible" name="LEADS" sheetId="2" r:id="rId6"/>
    <sheet state="visible" name="FIELD VISITS" sheetId="3" r:id="rId7"/>
    <sheet state="visible" name="QUOTATIONS &amp; DEALS" sheetId="4" r:id="rId8"/>
    <sheet state="visible" name="DASHBOARD" sheetId="5" r:id="rId9"/>
  </sheets>
  <definedNames>
    <definedName hidden="1" localSheetId="2" name="_xlnm._FilterDatabase">'FIELD VISITS'!$A$1:$O$71</definedName>
  </definedNames>
  <calcPr/>
</workbook>
</file>

<file path=xl/sharedStrings.xml><?xml version="1.0" encoding="utf-8"?>
<sst xmlns="http://schemas.openxmlformats.org/spreadsheetml/2006/main" count="3483" uniqueCount="780">
  <si>
    <t>Lead Source</t>
  </si>
  <si>
    <t>Lead Owner</t>
  </si>
  <si>
    <t>Lead Status</t>
  </si>
  <si>
    <t>Crop Type</t>
  </si>
  <si>
    <t>Crop Condition</t>
  </si>
  <si>
    <t>Irrigation Type</t>
  </si>
  <si>
    <t>Visit Outcome</t>
  </si>
  <si>
    <t>Quatation Status</t>
  </si>
  <si>
    <t>Payment Status</t>
  </si>
  <si>
    <t>Districts (Karnataka)</t>
  </si>
  <si>
    <t>Field Visit Status</t>
  </si>
  <si>
    <t>Visited By</t>
  </si>
  <si>
    <t>Quatation Prepared by</t>
  </si>
  <si>
    <t>Advertisement</t>
  </si>
  <si>
    <t>Likitha V J</t>
  </si>
  <si>
    <t>Active</t>
  </si>
  <si>
    <t>Arecanut</t>
  </si>
  <si>
    <t>Healthy</t>
  </si>
  <si>
    <t>Drip</t>
  </si>
  <si>
    <t>Good Fit - Interested</t>
  </si>
  <si>
    <t>Draft</t>
  </si>
  <si>
    <t>Pending</t>
  </si>
  <si>
    <t>Bengaluru Urban</t>
  </si>
  <si>
    <t>Scheduled</t>
  </si>
  <si>
    <t>Dr. Manjunath</t>
  </si>
  <si>
    <t>Keerthi M J</t>
  </si>
  <si>
    <t>Social Media</t>
  </si>
  <si>
    <t>Abhijith</t>
  </si>
  <si>
    <t>Inactive</t>
  </si>
  <si>
    <t>Coconut</t>
  </si>
  <si>
    <t>Yellowing</t>
  </si>
  <si>
    <t>Sprinkler</t>
  </si>
  <si>
    <t>Need Follow-up</t>
  </si>
  <si>
    <t>Sent</t>
  </si>
  <si>
    <t>Advance Paid</t>
  </si>
  <si>
    <t>Bengaluru Rural</t>
  </si>
  <si>
    <t>Visited</t>
  </si>
  <si>
    <t>Gowthami</t>
  </si>
  <si>
    <t>Walk-in</t>
  </si>
  <si>
    <t>Asmath Pasha</t>
  </si>
  <si>
    <t>Rubber</t>
  </si>
  <si>
    <t>Infestation</t>
  </si>
  <si>
    <t>Flood</t>
  </si>
  <si>
    <t>Not Interested</t>
  </si>
  <si>
    <t>In Discussion</t>
  </si>
  <si>
    <t>Partial</t>
  </si>
  <si>
    <t>Mysuru</t>
  </si>
  <si>
    <t>Referral</t>
  </si>
  <si>
    <t>Coffee</t>
  </si>
  <si>
    <t>Disease</t>
  </si>
  <si>
    <t>Rainfed</t>
  </si>
  <si>
    <t>Needs More Info</t>
  </si>
  <si>
    <t>Accepted</t>
  </si>
  <si>
    <t>Received</t>
  </si>
  <si>
    <t>Mandya</t>
  </si>
  <si>
    <t>Telecaller</t>
  </si>
  <si>
    <t>Pepper</t>
  </si>
  <si>
    <t>Poor Growth</t>
  </si>
  <si>
    <t>Mixed</t>
  </si>
  <si>
    <t>Price Concern</t>
  </si>
  <si>
    <t>Order dispatched</t>
  </si>
  <si>
    <t>Hassan</t>
  </si>
  <si>
    <t>Field Employee</t>
  </si>
  <si>
    <t xml:space="preserve">Nayana </t>
  </si>
  <si>
    <t>Cardamom</t>
  </si>
  <si>
    <t>Nutrient Deficiency</t>
  </si>
  <si>
    <t>Will Decide Later</t>
  </si>
  <si>
    <t>Order Delivered</t>
  </si>
  <si>
    <t>Tumkur</t>
  </si>
  <si>
    <t>Krushimela</t>
  </si>
  <si>
    <t>Annaiah K E</t>
  </si>
  <si>
    <t>Banana</t>
  </si>
  <si>
    <t>Rejected</t>
  </si>
  <si>
    <t>Chitradurga</t>
  </si>
  <si>
    <t>Paddy</t>
  </si>
  <si>
    <t>Davanagere</t>
  </si>
  <si>
    <t>Vegetables</t>
  </si>
  <si>
    <t>Shivamogga</t>
  </si>
  <si>
    <t>Other</t>
  </si>
  <si>
    <t>Chikmagalur</t>
  </si>
  <si>
    <t>Udupi</t>
  </si>
  <si>
    <t>Dakshina Kannada</t>
  </si>
  <si>
    <t>Uttara Kannada</t>
  </si>
  <si>
    <t>Belagavi</t>
  </si>
  <si>
    <t>Dharwad</t>
  </si>
  <si>
    <t>Haveri</t>
  </si>
  <si>
    <t>Gadag</t>
  </si>
  <si>
    <t>Bagalkot</t>
  </si>
  <si>
    <t>Vijayapura</t>
  </si>
  <si>
    <t>Kalaburagi</t>
  </si>
  <si>
    <t>Bidar</t>
  </si>
  <si>
    <t>Raichur</t>
  </si>
  <si>
    <t>Koppal</t>
  </si>
  <si>
    <t>Ballari</t>
  </si>
  <si>
    <t>Chamarajanagar</t>
  </si>
  <si>
    <t>Kodagu</t>
  </si>
  <si>
    <t>Chikkaballapur</t>
  </si>
  <si>
    <t>Kolar</t>
  </si>
  <si>
    <t>Ramanagara</t>
  </si>
  <si>
    <t>Yadgir</t>
  </si>
  <si>
    <t>Vijayanagara</t>
  </si>
  <si>
    <t>Bengaluru South</t>
  </si>
  <si>
    <t>Manglore</t>
  </si>
  <si>
    <t>Lead ID</t>
  </si>
  <si>
    <t>Created Date</t>
  </si>
  <si>
    <t>Source</t>
  </si>
  <si>
    <t>Farmer Name</t>
  </si>
  <si>
    <t>Phone</t>
  </si>
  <si>
    <t>Alt Phone</t>
  </si>
  <si>
    <t>WhatsApp</t>
  </si>
  <si>
    <t>Village</t>
  </si>
  <si>
    <t>Taluk</t>
  </si>
  <si>
    <t>District</t>
  </si>
  <si>
    <t>Farm Size (acres)</t>
  </si>
  <si>
    <t>Crop Age</t>
  </si>
  <si>
    <t>No. Of Plants</t>
  </si>
  <si>
    <t>Initial Notes</t>
  </si>
  <si>
    <t>Last Updated</t>
  </si>
  <si>
    <t>Natesh</t>
  </si>
  <si>
    <t>Kalyani Agrahara</t>
  </si>
  <si>
    <t>thirthahalli</t>
  </si>
  <si>
    <t>Asha Rani</t>
  </si>
  <si>
    <t>Kugulur</t>
  </si>
  <si>
    <t>Dr Srinivas</t>
  </si>
  <si>
    <t>Kusarige</t>
  </si>
  <si>
    <t>Koppa</t>
  </si>
  <si>
    <t>Imran Syed Chand</t>
  </si>
  <si>
    <t>Hal Lakkavalli</t>
  </si>
  <si>
    <t>Syed Basha</t>
  </si>
  <si>
    <t>K K Mugge</t>
  </si>
  <si>
    <t>Bhadravathi</t>
  </si>
  <si>
    <t>Raghu</t>
  </si>
  <si>
    <t>Mullukere</t>
  </si>
  <si>
    <t>Naveen</t>
  </si>
  <si>
    <t>Jabbar Saad</t>
  </si>
  <si>
    <t>Sitarampura</t>
  </si>
  <si>
    <t>Jagadeesh</t>
  </si>
  <si>
    <t>Kuddli</t>
  </si>
  <si>
    <t>Abdul Masjuad</t>
  </si>
  <si>
    <t>Jaradhan</t>
  </si>
  <si>
    <t>Krishna Murty</t>
  </si>
  <si>
    <t>Anavatti</t>
  </si>
  <si>
    <t>Holalkere</t>
  </si>
  <si>
    <t xml:space="preserve"> Ramesh</t>
  </si>
  <si>
    <t>Belguni</t>
  </si>
  <si>
    <t>Aynur</t>
  </si>
  <si>
    <t>Govinda raj</t>
  </si>
  <si>
    <t>Manjogi Rao</t>
  </si>
  <si>
    <t>Maheshwrappa</t>
  </si>
  <si>
    <t>Thammadihalli</t>
  </si>
  <si>
    <t>Swamy Rao</t>
  </si>
  <si>
    <t>Kalkoppa</t>
  </si>
  <si>
    <t>Thirthahalli</t>
  </si>
  <si>
    <t>Prahaladh</t>
  </si>
  <si>
    <t>Kodihalli</t>
  </si>
  <si>
    <t>Kadur</t>
  </si>
  <si>
    <t>Shabeer</t>
  </si>
  <si>
    <t>Naluru</t>
  </si>
  <si>
    <t>Mahaballesh</t>
  </si>
  <si>
    <t>Hasirumane</t>
  </si>
  <si>
    <t>Girish</t>
  </si>
  <si>
    <t>Savitrimane</t>
  </si>
  <si>
    <t>Siddappa K.C</t>
  </si>
  <si>
    <t>Kanchinalu</t>
  </si>
  <si>
    <t>Ashiq</t>
  </si>
  <si>
    <t>Neralakoduge</t>
  </si>
  <si>
    <t>Rabort</t>
  </si>
  <si>
    <t>Sunil kumar</t>
  </si>
  <si>
    <t>Rameshwar</t>
  </si>
  <si>
    <t>Savlanga</t>
  </si>
  <si>
    <t>Kumar Swamy</t>
  </si>
  <si>
    <t>Sogilu</t>
  </si>
  <si>
    <t>Nagaraj H</t>
  </si>
  <si>
    <t>Mahesh</t>
  </si>
  <si>
    <t>Bikanahalli</t>
  </si>
  <si>
    <t>Jeevan</t>
  </si>
  <si>
    <t>Chetan</t>
  </si>
  <si>
    <t>Gurumurthy</t>
  </si>
  <si>
    <t>Maheshwar</t>
  </si>
  <si>
    <t>Rajappa</t>
  </si>
  <si>
    <t>15,8</t>
  </si>
  <si>
    <t>Chandrashekar</t>
  </si>
  <si>
    <t>Neelkantappa</t>
  </si>
  <si>
    <t>Harnahalli</t>
  </si>
  <si>
    <t>Shivanna</t>
  </si>
  <si>
    <t>Lokeshappa</t>
  </si>
  <si>
    <t>V.P.Veerabhadrappa</t>
  </si>
  <si>
    <t>Sudoor</t>
  </si>
  <si>
    <t>Rippanpete</t>
  </si>
  <si>
    <t>Pavankumar</t>
  </si>
  <si>
    <t>Bilguni</t>
  </si>
  <si>
    <t>Sandeep kumar</t>
  </si>
  <si>
    <t>Hannegere</t>
  </si>
  <si>
    <t>Nagaraj</t>
  </si>
  <si>
    <t>Antaragange</t>
  </si>
  <si>
    <t>N.Umesh</t>
  </si>
  <si>
    <t>Gowrapura</t>
  </si>
  <si>
    <t>Naveen kumar</t>
  </si>
  <si>
    <t>Dorgappanahalli</t>
  </si>
  <si>
    <t>Pradeep R</t>
  </si>
  <si>
    <t>Venktesh</t>
  </si>
  <si>
    <t>Kubendrappa</t>
  </si>
  <si>
    <t>Boraiyya</t>
  </si>
  <si>
    <t>Manjunath</t>
  </si>
  <si>
    <t>Yellappa</t>
  </si>
  <si>
    <t>Chandrayya</t>
  </si>
  <si>
    <t>Dr Chandan</t>
  </si>
  <si>
    <t>Samshettyhalli</t>
  </si>
  <si>
    <t>Nalluru</t>
  </si>
  <si>
    <t>Eshanna</t>
  </si>
  <si>
    <t>Channagiri</t>
  </si>
  <si>
    <t>Veeresh</t>
  </si>
  <si>
    <t>Shivakumar</t>
  </si>
  <si>
    <t>Vamandev</t>
  </si>
  <si>
    <t>Siddik</t>
  </si>
  <si>
    <t>Shashi</t>
  </si>
  <si>
    <t>Mahamad Farooz</t>
  </si>
  <si>
    <t>Agasavalli</t>
  </si>
  <si>
    <t>Riyaz</t>
  </si>
  <si>
    <t>Mandagadde</t>
  </si>
  <si>
    <t>Mallikarjun</t>
  </si>
  <si>
    <t>Gajanur</t>
  </si>
  <si>
    <t>Dayananda</t>
  </si>
  <si>
    <t>Kumar</t>
  </si>
  <si>
    <t>Abelgere</t>
  </si>
  <si>
    <t>Dinesh</t>
  </si>
  <si>
    <t>Kamal kumar</t>
  </si>
  <si>
    <t>Mandagatta</t>
  </si>
  <si>
    <t>Chandrappa</t>
  </si>
  <si>
    <t>Hunasagatta</t>
  </si>
  <si>
    <t>Tarikere</t>
  </si>
  <si>
    <t>Sathish</t>
  </si>
  <si>
    <t>Santhosh</t>
  </si>
  <si>
    <t>Millenalli</t>
  </si>
  <si>
    <t>Nagamangala</t>
  </si>
  <si>
    <t>Birur</t>
  </si>
  <si>
    <t>Jamdalla</t>
  </si>
  <si>
    <t>Ashok</t>
  </si>
  <si>
    <t>Arungatta</t>
  </si>
  <si>
    <t>shivamogga</t>
  </si>
  <si>
    <t>Manu</t>
  </si>
  <si>
    <t>Rubberkodu</t>
  </si>
  <si>
    <t>Srikanth</t>
  </si>
  <si>
    <t>D.G.Halli</t>
  </si>
  <si>
    <t>Lingaraju</t>
  </si>
  <si>
    <t>Lakshmipura</t>
  </si>
  <si>
    <t>Nanjundappa</t>
  </si>
  <si>
    <t>Kandresh</t>
  </si>
  <si>
    <t>M.C.Halli</t>
  </si>
  <si>
    <t>D Nagaraj</t>
  </si>
  <si>
    <t>Chattanahalli</t>
  </si>
  <si>
    <t>Nyamathi</t>
  </si>
  <si>
    <t>Indukumar</t>
  </si>
  <si>
    <t>Varunkumar</t>
  </si>
  <si>
    <t>Eshwarappa</t>
  </si>
  <si>
    <t>Shankarappa</t>
  </si>
  <si>
    <t>Rohith</t>
  </si>
  <si>
    <t>Mohan kumar</t>
  </si>
  <si>
    <t>Kanasuru</t>
  </si>
  <si>
    <t>Haluru</t>
  </si>
  <si>
    <t>Prakash</t>
  </si>
  <si>
    <t>Mudabidare</t>
  </si>
  <si>
    <t>Mangaluru</t>
  </si>
  <si>
    <t xml:space="preserve">Mother Earth </t>
  </si>
  <si>
    <t xml:space="preserve">Jagadapura </t>
  </si>
  <si>
    <t xml:space="preserve">Channappattna </t>
  </si>
  <si>
    <t>Suresh K S</t>
  </si>
  <si>
    <t>Kalyur</t>
  </si>
  <si>
    <t>T Narasipura</t>
  </si>
  <si>
    <t>Takode</t>
  </si>
  <si>
    <t>Mudubidare</t>
  </si>
  <si>
    <t>Irfan</t>
  </si>
  <si>
    <t>Kokadu</t>
  </si>
  <si>
    <t>Gangadar</t>
  </si>
  <si>
    <t>Nitturu</t>
  </si>
  <si>
    <t>Gubbi</t>
  </si>
  <si>
    <t>Robert Martis</t>
  </si>
  <si>
    <t>Imtiyaz</t>
  </si>
  <si>
    <t>Kammaradi</t>
  </si>
  <si>
    <t>Rubber Kadu</t>
  </si>
  <si>
    <t>D G Halli</t>
  </si>
  <si>
    <t>Kadresh</t>
  </si>
  <si>
    <t>M C Halli</t>
  </si>
  <si>
    <t>Nyamthi</t>
  </si>
  <si>
    <t>Dodderi</t>
  </si>
  <si>
    <t>Honnali</t>
  </si>
  <si>
    <t>Yadhu Gawda</t>
  </si>
  <si>
    <t>Masadi</t>
  </si>
  <si>
    <t>Nagaraj K P</t>
  </si>
  <si>
    <t>Kunduru</t>
  </si>
  <si>
    <t>Malebennuru</t>
  </si>
  <si>
    <t>Rakesh</t>
  </si>
  <si>
    <t>Holalur</t>
  </si>
  <si>
    <t>Ramesh Dodderi</t>
  </si>
  <si>
    <t>Haleshappa</t>
  </si>
  <si>
    <t>Chiluru</t>
  </si>
  <si>
    <t>Zamir Lemad</t>
  </si>
  <si>
    <t>Suresh</t>
  </si>
  <si>
    <t>Lingadahalli</t>
  </si>
  <si>
    <t>Ganesh</t>
  </si>
  <si>
    <t>Udeva</t>
  </si>
  <si>
    <t>Yogish</t>
  </si>
  <si>
    <t>Sakkarayappana</t>
  </si>
  <si>
    <t>Harish</t>
  </si>
  <si>
    <t>Chethan</t>
  </si>
  <si>
    <t>Saraswathipura</t>
  </si>
  <si>
    <t>Manju</t>
  </si>
  <si>
    <t>Kaimara</t>
  </si>
  <si>
    <t>Thirthalli</t>
  </si>
  <si>
    <t>Mukaram</t>
  </si>
  <si>
    <t>Hosahalli</t>
  </si>
  <si>
    <t>Sundaresh</t>
  </si>
  <si>
    <t>Gabadi</t>
  </si>
  <si>
    <t>R J Pradeepkumar</t>
  </si>
  <si>
    <t>Kakkodu Andabile</t>
  </si>
  <si>
    <t>Munaf sharif</t>
  </si>
  <si>
    <t>Anwar sab</t>
  </si>
  <si>
    <t>Tavale</t>
  </si>
  <si>
    <t>Dastagir</t>
  </si>
  <si>
    <t>Shafinla</t>
  </si>
  <si>
    <t>Nageem</t>
  </si>
  <si>
    <t>Maluru</t>
  </si>
  <si>
    <t>Dadapeer</t>
  </si>
  <si>
    <t>Haneef Sharif</t>
  </si>
  <si>
    <t>Abbobakar Siddiq</t>
  </si>
  <si>
    <t>Navabkan</t>
  </si>
  <si>
    <t>G T Giriyappa</t>
  </si>
  <si>
    <t>Shekarappa</t>
  </si>
  <si>
    <t>Pillenahalli</t>
  </si>
  <si>
    <t>Sanna Mallappa</t>
  </si>
  <si>
    <t>Abhi</t>
  </si>
  <si>
    <t>Nagabhushan</t>
  </si>
  <si>
    <t>Basavaraj</t>
  </si>
  <si>
    <t>Agrahara</t>
  </si>
  <si>
    <t>Ananth</t>
  </si>
  <si>
    <t>Jagadish</t>
  </si>
  <si>
    <t>Duglapura</t>
  </si>
  <si>
    <t>Ramesh</t>
  </si>
  <si>
    <t>Yelvatti</t>
  </si>
  <si>
    <t>Nanjundayya</t>
  </si>
  <si>
    <t>Hosodi</t>
  </si>
  <si>
    <t>Chikmaradi</t>
  </si>
  <si>
    <t>Abhishek</t>
  </si>
  <si>
    <t>Sudharshan</t>
  </si>
  <si>
    <t>Ashoknagara</t>
  </si>
  <si>
    <t>Bhadravati</t>
  </si>
  <si>
    <t>Pulkeshi</t>
  </si>
  <si>
    <t>Iliyas</t>
  </si>
  <si>
    <t>Hosadi</t>
  </si>
  <si>
    <t>Karthik</t>
  </si>
  <si>
    <t>Vijaykumar</t>
  </si>
  <si>
    <t>Hanumanthpura</t>
  </si>
  <si>
    <t>Chandan</t>
  </si>
  <si>
    <t>Purdal</t>
  </si>
  <si>
    <t>Ravikumar</t>
  </si>
  <si>
    <t>Holebenavalli</t>
  </si>
  <si>
    <t>Holehonnuru</t>
  </si>
  <si>
    <t>Ramesh Naik</t>
  </si>
  <si>
    <t>Malleshappa</t>
  </si>
  <si>
    <t>Kattappa</t>
  </si>
  <si>
    <t>Hampikatte</t>
  </si>
  <si>
    <t>Lakshman</t>
  </si>
  <si>
    <t>Beluru</t>
  </si>
  <si>
    <t>Shettihalli</t>
  </si>
  <si>
    <t>Mutturaj</t>
  </si>
  <si>
    <t>Thanigebailu</t>
  </si>
  <si>
    <t>Omkarappa</t>
  </si>
  <si>
    <t>Raj Adharsh</t>
  </si>
  <si>
    <t>Malavagoppa</t>
  </si>
  <si>
    <t>Doddatraya</t>
  </si>
  <si>
    <t>Honnavila</t>
  </si>
  <si>
    <t>Halappa</t>
  </si>
  <si>
    <t>Manjappa</t>
  </si>
  <si>
    <t>Bidare</t>
  </si>
  <si>
    <t>Pradeep</t>
  </si>
  <si>
    <t>Krishna</t>
  </si>
  <si>
    <t>Dr Prashanth</t>
  </si>
  <si>
    <t>Hasodi</t>
  </si>
  <si>
    <t>Annappa</t>
  </si>
  <si>
    <t>Nagappa</t>
  </si>
  <si>
    <t>Yogesh</t>
  </si>
  <si>
    <t>Gudrukoppa</t>
  </si>
  <si>
    <t>Vijay</t>
  </si>
  <si>
    <t>Bhadrapura</t>
  </si>
  <si>
    <t>Keshava</t>
  </si>
  <si>
    <t xml:space="preserve">Shivappa,Mohan        </t>
  </si>
  <si>
    <t>Anil</t>
  </si>
  <si>
    <t>Boresh</t>
  </si>
  <si>
    <t>Indrajeet</t>
  </si>
  <si>
    <t>Kunchanahalli</t>
  </si>
  <si>
    <t>Thukya naik</t>
  </si>
  <si>
    <t>Lohith</t>
  </si>
  <si>
    <t>Sanyasi</t>
  </si>
  <si>
    <t>Chordi</t>
  </si>
  <si>
    <t>Devappa</t>
  </si>
  <si>
    <t>Shettykere</t>
  </si>
  <si>
    <t>Puttappa</t>
  </si>
  <si>
    <t>Kumsi</t>
  </si>
  <si>
    <t>Prabhakar</t>
  </si>
  <si>
    <t>Balekoppa</t>
  </si>
  <si>
    <t>Parameshwarappa</t>
  </si>
  <si>
    <t>Rangappa</t>
  </si>
  <si>
    <t>Chandra</t>
  </si>
  <si>
    <t>Hundogi rao</t>
  </si>
  <si>
    <t>Jagendra D L</t>
  </si>
  <si>
    <t>Danayakapur</t>
  </si>
  <si>
    <t>Dyanand Sagar</t>
  </si>
  <si>
    <t>Holenonnuru</t>
  </si>
  <si>
    <t>Eshwar Naik</t>
  </si>
  <si>
    <t>Anand</t>
  </si>
  <si>
    <t>Hattikatte</t>
  </si>
  <si>
    <t>Bhadhravati</t>
  </si>
  <si>
    <t>V R Krishna raj</t>
  </si>
  <si>
    <t>Buklapur</t>
  </si>
  <si>
    <t>Punith</t>
  </si>
  <si>
    <t>Uday N</t>
  </si>
  <si>
    <t>Prashanth</t>
  </si>
  <si>
    <t>Ansar Arshad</t>
  </si>
  <si>
    <t>Ananthpura</t>
  </si>
  <si>
    <t>Sagara</t>
  </si>
  <si>
    <t>Eruvakki</t>
  </si>
  <si>
    <t>Kodihosur</t>
  </si>
  <si>
    <t>Thirthesh</t>
  </si>
  <si>
    <t>Guddemane</t>
  </si>
  <si>
    <t>Afsan</t>
  </si>
  <si>
    <t>Kadekal</t>
  </si>
  <si>
    <t>Arif</t>
  </si>
  <si>
    <t>Sagib</t>
  </si>
  <si>
    <t>Shivagi</t>
  </si>
  <si>
    <t>Hosur</t>
  </si>
  <si>
    <t>Samilla</t>
  </si>
  <si>
    <t>Asim</t>
  </si>
  <si>
    <t>Krishnappa</t>
  </si>
  <si>
    <t>Sidlipura</t>
  </si>
  <si>
    <t>Kantaraj</t>
  </si>
  <si>
    <t>Haleshappa K V</t>
  </si>
  <si>
    <t>Bedara Hosahalli</t>
  </si>
  <si>
    <t>Melinahansvadi</t>
  </si>
  <si>
    <t>Dr Adarsha C</t>
  </si>
  <si>
    <t>Veereshappa</t>
  </si>
  <si>
    <t>Yogish H J</t>
  </si>
  <si>
    <t>Shivamurty</t>
  </si>
  <si>
    <t>Ballapura</t>
  </si>
  <si>
    <t>H S Shekarappa</t>
  </si>
  <si>
    <t>Chandrappa M B</t>
  </si>
  <si>
    <t>Pramod</t>
  </si>
  <si>
    <t>Gopinath</t>
  </si>
  <si>
    <t>Basappa</t>
  </si>
  <si>
    <t>Basavarajayya</t>
  </si>
  <si>
    <t>H S Srinivas</t>
  </si>
  <si>
    <t>Apoorva</t>
  </si>
  <si>
    <t>Jaipura</t>
  </si>
  <si>
    <t>Shripad</t>
  </si>
  <si>
    <t>Beguvalli</t>
  </si>
  <si>
    <t>Aynuru</t>
  </si>
  <si>
    <t>Kachinkatte</t>
  </si>
  <si>
    <t>Konandur</t>
  </si>
  <si>
    <t>Lokesh</t>
  </si>
  <si>
    <t>Dananjaya</t>
  </si>
  <si>
    <t>J Prakash</t>
  </si>
  <si>
    <t>Kasavanahalli</t>
  </si>
  <si>
    <t>Hiriyuru</t>
  </si>
  <si>
    <t>K R Pura</t>
  </si>
  <si>
    <t>Govindaraj</t>
  </si>
  <si>
    <t>Bindavara</t>
  </si>
  <si>
    <t>Kadlapanaty</t>
  </si>
  <si>
    <t>Karisiddappa</t>
  </si>
  <si>
    <t>Dogganalli</t>
  </si>
  <si>
    <t>Pavan</t>
  </si>
  <si>
    <t>Dasayyanahaty</t>
  </si>
  <si>
    <t xml:space="preserve">  Thippeswamy</t>
  </si>
  <si>
    <t>P Hobanalli</t>
  </si>
  <si>
    <t>Challakere</t>
  </si>
  <si>
    <t>Yathish</t>
  </si>
  <si>
    <t>Hirekangadi</t>
  </si>
  <si>
    <t>Nagenalli</t>
  </si>
  <si>
    <t>Ajjampura</t>
  </si>
  <si>
    <t>Veerabhadrappa</t>
  </si>
  <si>
    <t>Manoj</t>
  </si>
  <si>
    <t>Rameshyad</t>
  </si>
  <si>
    <t>Rangenalli</t>
  </si>
  <si>
    <t>Mundre</t>
  </si>
  <si>
    <t>Danavadi</t>
  </si>
  <si>
    <t>Ukunda</t>
  </si>
  <si>
    <t>M Raja</t>
  </si>
  <si>
    <t>Honnaty Hosuru</t>
  </si>
  <si>
    <t>Yogamurty</t>
  </si>
  <si>
    <t>Shikaripura</t>
  </si>
  <si>
    <t>Tirukappa</t>
  </si>
  <si>
    <t>Chikkamahadi</t>
  </si>
  <si>
    <t>Narayanapura</t>
  </si>
  <si>
    <t>Niranjan</t>
  </si>
  <si>
    <t>Gajanuru</t>
  </si>
  <si>
    <t>Gonichattanahalli</t>
  </si>
  <si>
    <t>Jairam</t>
  </si>
  <si>
    <t>Martur</t>
  </si>
  <si>
    <t>Mahadev</t>
  </si>
  <si>
    <t>Gadge</t>
  </si>
  <si>
    <t>Shira</t>
  </si>
  <si>
    <t>Paramesh</t>
  </si>
  <si>
    <t>Kanchiganahalli</t>
  </si>
  <si>
    <t>Maldigudda</t>
  </si>
  <si>
    <t>Nagaragatta</t>
  </si>
  <si>
    <t>Tipturu</t>
  </si>
  <si>
    <t>Shivalingayya</t>
  </si>
  <si>
    <t>Bebhuru</t>
  </si>
  <si>
    <t>Mahan</t>
  </si>
  <si>
    <t>Herur</t>
  </si>
  <si>
    <t>Shankara Gowda</t>
  </si>
  <si>
    <t>Mudenuru</t>
  </si>
  <si>
    <t>Ranibennuru</t>
  </si>
  <si>
    <t>Kiran Kumar</t>
  </si>
  <si>
    <t>Kudupali</t>
  </si>
  <si>
    <t>Rattelli</t>
  </si>
  <si>
    <t>Kumarpattana</t>
  </si>
  <si>
    <t>Sreenivas</t>
  </si>
  <si>
    <t>Kolluru</t>
  </si>
  <si>
    <t>Bahinduru</t>
  </si>
  <si>
    <t>Lakshminarayan</t>
  </si>
  <si>
    <t>Doddahalalli</t>
  </si>
  <si>
    <t>Kanakpura</t>
  </si>
  <si>
    <t>Dr. Shivakumar</t>
  </si>
  <si>
    <t>Kamalapura</t>
  </si>
  <si>
    <t>Hosapete</t>
  </si>
  <si>
    <t>Pandu Naik</t>
  </si>
  <si>
    <t>Kotturu</t>
  </si>
  <si>
    <t>Parushuramappa</t>
  </si>
  <si>
    <t>Nichavanahalli</t>
  </si>
  <si>
    <t>Arupnalli</t>
  </si>
  <si>
    <t>Shivashankar</t>
  </si>
  <si>
    <t>Guvanalli</t>
  </si>
  <si>
    <t>Channarayapattana</t>
  </si>
  <si>
    <t>Harakalgudu</t>
  </si>
  <si>
    <t>Hassana</t>
  </si>
  <si>
    <t>Prasanna Kumar</t>
  </si>
  <si>
    <t>Hanumanalli</t>
  </si>
  <si>
    <t>Hirekognuru</t>
  </si>
  <si>
    <t>Vishweshvarayya</t>
  </si>
  <si>
    <t>Emmanabetturu</t>
  </si>
  <si>
    <t>Basavaraju</t>
  </si>
  <si>
    <t>Kondanakovi</t>
  </si>
  <si>
    <t>Sunil</t>
  </si>
  <si>
    <t>Bidaralli</t>
  </si>
  <si>
    <t>naveen</t>
  </si>
  <si>
    <t>Daddahejjagi</t>
  </si>
  <si>
    <t>Doddaballapura</t>
  </si>
  <si>
    <t>Sompura</t>
  </si>
  <si>
    <t>Nelamangala</t>
  </si>
  <si>
    <t>Sandeep</t>
  </si>
  <si>
    <t>Kalmane</t>
  </si>
  <si>
    <t>M Shivanand</t>
  </si>
  <si>
    <t>Hitla</t>
  </si>
  <si>
    <t xml:space="preserve">Shivamurty K </t>
  </si>
  <si>
    <t>Munawersab</t>
  </si>
  <si>
    <t>Shekar</t>
  </si>
  <si>
    <t>Kamal Kumar</t>
  </si>
  <si>
    <t>Chinnamane</t>
  </si>
  <si>
    <t>Nagedra Doddery</t>
  </si>
  <si>
    <t>Kudi</t>
  </si>
  <si>
    <t>Padmanab</t>
  </si>
  <si>
    <t>Garga</t>
  </si>
  <si>
    <t>Anilkumar</t>
  </si>
  <si>
    <t>Prashanth G R</t>
  </si>
  <si>
    <t>Sadashiva</t>
  </si>
  <si>
    <t>Ramayya</t>
  </si>
  <si>
    <t>Megharaj</t>
  </si>
  <si>
    <t>Kannagi</t>
  </si>
  <si>
    <t>Savin Kumar</t>
  </si>
  <si>
    <t>Nagesh</t>
  </si>
  <si>
    <t>Yuvraj</t>
  </si>
  <si>
    <t>Praveen</t>
  </si>
  <si>
    <t>Honge Haklu</t>
  </si>
  <si>
    <t>Mahendra</t>
  </si>
  <si>
    <t xml:space="preserve">Mohan </t>
  </si>
  <si>
    <t>Kuppuru</t>
  </si>
  <si>
    <t>N R Pura</t>
  </si>
  <si>
    <t xml:space="preserve">Mohamed </t>
  </si>
  <si>
    <t>Belthaangadi</t>
  </si>
  <si>
    <t>T N Girish</t>
  </si>
  <si>
    <t>Jambadahalli</t>
  </si>
  <si>
    <t>Sujeeth</t>
  </si>
  <si>
    <t>Boroorkalkoppa</t>
  </si>
  <si>
    <t>Bharat</t>
  </si>
  <si>
    <t>Shivappa</t>
  </si>
  <si>
    <t>Hosatekoppa</t>
  </si>
  <si>
    <t>Kantappa</t>
  </si>
  <si>
    <t>Arashingere</t>
  </si>
  <si>
    <t>R Shivkumar</t>
  </si>
  <si>
    <t>Esoru</t>
  </si>
  <si>
    <t>A H Veerendra Patil</t>
  </si>
  <si>
    <t>Vageesha</t>
  </si>
  <si>
    <t>Sridhar</t>
  </si>
  <si>
    <t>Gopi</t>
  </si>
  <si>
    <t>Bhuvaneshwar</t>
  </si>
  <si>
    <t>Ramanna</t>
  </si>
  <si>
    <t>Katkihalli</t>
  </si>
  <si>
    <t>Nagaraj D M</t>
  </si>
  <si>
    <t>Dhanvadi</t>
  </si>
  <si>
    <t>Rudramani</t>
  </si>
  <si>
    <t>B Malingayya</t>
  </si>
  <si>
    <t>Kudligere</t>
  </si>
  <si>
    <t>K Mani</t>
  </si>
  <si>
    <t>Arebilchi</t>
  </si>
  <si>
    <t>B Jaidev Kumar</t>
  </si>
  <si>
    <t>yoganna</t>
  </si>
  <si>
    <t>Eswar</t>
  </si>
  <si>
    <t>Tannigebailu</t>
  </si>
  <si>
    <t>Soraba</t>
  </si>
  <si>
    <t>Mahendrappa</t>
  </si>
  <si>
    <t>Jayanna</t>
  </si>
  <si>
    <t>Ulavi</t>
  </si>
  <si>
    <t>Kariyappa</t>
  </si>
  <si>
    <t>Nagarajappa</t>
  </si>
  <si>
    <t>Amchi</t>
  </si>
  <si>
    <t>Karunakar</t>
  </si>
  <si>
    <t>Parashuram</t>
  </si>
  <si>
    <t>Madhuraj</t>
  </si>
  <si>
    <t>Hoblapura</t>
  </si>
  <si>
    <t>Siddesh</t>
  </si>
  <si>
    <t>Sirivase</t>
  </si>
  <si>
    <t>Chikkamagaluru</t>
  </si>
  <si>
    <t>Maradi</t>
  </si>
  <si>
    <t>Kiran</t>
  </si>
  <si>
    <t>Kuppalli</t>
  </si>
  <si>
    <t>Rajesh</t>
  </si>
  <si>
    <t>M H Pura</t>
  </si>
  <si>
    <t>Subramanya</t>
  </si>
  <si>
    <t>Hirambapura</t>
  </si>
  <si>
    <t>Shiv Prakash</t>
  </si>
  <si>
    <t>Sakrebailu</t>
  </si>
  <si>
    <t>Prafulla Chandra</t>
  </si>
  <si>
    <t>Devangi</t>
  </si>
  <si>
    <t>Dr. Ravi</t>
  </si>
  <si>
    <t>Sadashiva T R</t>
  </si>
  <si>
    <t>Narashettyhalli</t>
  </si>
  <si>
    <t>Yashwanth</t>
  </si>
  <si>
    <t>Bannihatty</t>
  </si>
  <si>
    <t>Niranjan Murty</t>
  </si>
  <si>
    <t>Purle</t>
  </si>
  <si>
    <t>Umesh</t>
  </si>
  <si>
    <t>Hudalavitalapura</t>
  </si>
  <si>
    <t>Ravi</t>
  </si>
  <si>
    <t>Benkikere</t>
  </si>
  <si>
    <t>Chandru</t>
  </si>
  <si>
    <t>Darshan</t>
  </si>
  <si>
    <t>Gullehalli</t>
  </si>
  <si>
    <t>S P Munna</t>
  </si>
  <si>
    <t>Sakarayapattana</t>
  </si>
  <si>
    <t>Chinmukswamy</t>
  </si>
  <si>
    <t>Mavukere</t>
  </si>
  <si>
    <t>Lakshamana</t>
  </si>
  <si>
    <t>Honnatty Hosuru</t>
  </si>
  <si>
    <t>Raja</t>
  </si>
  <si>
    <t>Antaragange Camp</t>
  </si>
  <si>
    <t>Akash</t>
  </si>
  <si>
    <t>Lakkikoppa janction</t>
  </si>
  <si>
    <t>Siddiqe</t>
  </si>
  <si>
    <t>Donabgatta</t>
  </si>
  <si>
    <t>Dastagirkan</t>
  </si>
  <si>
    <t>Thimme Gowda</t>
  </si>
  <si>
    <t>Rafiq</t>
  </si>
  <si>
    <t>S K Maggi</t>
  </si>
  <si>
    <t>Hanumanthappa</t>
  </si>
  <si>
    <t>Siddipura</t>
  </si>
  <si>
    <t>Devaendra Rao</t>
  </si>
  <si>
    <t>Thippesh</t>
  </si>
  <si>
    <t>Sampath</t>
  </si>
  <si>
    <t>Balagar</t>
  </si>
  <si>
    <t>Geevan</t>
  </si>
  <si>
    <t>Kesore</t>
  </si>
  <si>
    <t>Radhakrishna</t>
  </si>
  <si>
    <t>Suchendrappa</t>
  </si>
  <si>
    <t>Adarsha</t>
  </si>
  <si>
    <t>Alugalli</t>
  </si>
  <si>
    <t>Gopal krishna</t>
  </si>
  <si>
    <t>Halleshwara</t>
  </si>
  <si>
    <t>Thannigebailu</t>
  </si>
  <si>
    <t>Dugalapura</t>
  </si>
  <si>
    <t>Murali</t>
  </si>
  <si>
    <t>Rangenahalli</t>
  </si>
  <si>
    <t>Basavanahalli</t>
  </si>
  <si>
    <t xml:space="preserve">  </t>
  </si>
  <si>
    <t>Visit ID</t>
  </si>
  <si>
    <t>Mobile Number</t>
  </si>
  <si>
    <t>Number of Plants</t>
  </si>
  <si>
    <t>Visit Scheduled Date</t>
  </si>
  <si>
    <t>Visit Actual Date</t>
  </si>
  <si>
    <t>Visit Notes</t>
  </si>
  <si>
    <t>Diagnosis Report Sent for Quotation</t>
  </si>
  <si>
    <t>Next Follow-up Date</t>
  </si>
  <si>
    <t>Status</t>
  </si>
  <si>
    <t>LEA-0001</t>
  </si>
  <si>
    <t>Yes</t>
  </si>
  <si>
    <t>LEA-0003</t>
  </si>
  <si>
    <t>LEA-0002</t>
  </si>
  <si>
    <t>LEA-0004</t>
  </si>
  <si>
    <t>LEA-0005</t>
  </si>
  <si>
    <t>LEA-0006</t>
  </si>
  <si>
    <t>LEA-0007</t>
  </si>
  <si>
    <t>LEA-0008</t>
  </si>
  <si>
    <t>LEA-0009</t>
  </si>
  <si>
    <t>LEA-0010</t>
  </si>
  <si>
    <t>LEA-0011</t>
  </si>
  <si>
    <t>LEA-0012</t>
  </si>
  <si>
    <t>LEA-0018</t>
  </si>
  <si>
    <t>LEA-0019</t>
  </si>
  <si>
    <t>LEA-0020</t>
  </si>
  <si>
    <t>LEA-0021</t>
  </si>
  <si>
    <t>LEA-0022</t>
  </si>
  <si>
    <t>LEA-0023</t>
  </si>
  <si>
    <t>LEA-0024</t>
  </si>
  <si>
    <t>LEA-0025</t>
  </si>
  <si>
    <t>LEA-0026</t>
  </si>
  <si>
    <t>LEA-0027</t>
  </si>
  <si>
    <t>LEA-0028</t>
  </si>
  <si>
    <t>LEA-0029</t>
  </si>
  <si>
    <t>LEA-0030</t>
  </si>
  <si>
    <t>LEA-0031</t>
  </si>
  <si>
    <t>LEA-0032</t>
  </si>
  <si>
    <t>LEA-0033</t>
  </si>
  <si>
    <t>LEA-0034</t>
  </si>
  <si>
    <t>LEA-0035</t>
  </si>
  <si>
    <t>LEA-0036</t>
  </si>
  <si>
    <t>LEA-0037</t>
  </si>
  <si>
    <t>LEA-0038</t>
  </si>
  <si>
    <t>LEA-0039</t>
  </si>
  <si>
    <t>LEA-0040</t>
  </si>
  <si>
    <t>LEA-0041</t>
  </si>
  <si>
    <t>LEA-0042</t>
  </si>
  <si>
    <t>LEA-0043</t>
  </si>
  <si>
    <t>LEA-0044</t>
  </si>
  <si>
    <t>LEA-0045</t>
  </si>
  <si>
    <t>LEA-0046</t>
  </si>
  <si>
    <t>LEA-0047</t>
  </si>
  <si>
    <t>LEA-0048</t>
  </si>
  <si>
    <t>LEA-0049</t>
  </si>
  <si>
    <t>LEA-0050</t>
  </si>
  <si>
    <t>LEA-0051</t>
  </si>
  <si>
    <t>LEA-0066</t>
  </si>
  <si>
    <t>LEA-0067</t>
  </si>
  <si>
    <t>LEA-0068</t>
  </si>
  <si>
    <t>LEA-0069</t>
  </si>
  <si>
    <t>LEA-0070</t>
  </si>
  <si>
    <t>LEA-0071</t>
  </si>
  <si>
    <t>LEA-0073</t>
  </si>
  <si>
    <t>LEA-0074</t>
  </si>
  <si>
    <t>LEA-0075</t>
  </si>
  <si>
    <t>LEA-0087</t>
  </si>
  <si>
    <t xml:space="preserve"> </t>
  </si>
  <si>
    <t>LEA-0088</t>
  </si>
  <si>
    <t>LEA-0093</t>
  </si>
  <si>
    <t>LEA-0311</t>
  </si>
  <si>
    <t>LEA-0390</t>
  </si>
  <si>
    <t>LEA-0391</t>
  </si>
  <si>
    <t>LEA-0392</t>
  </si>
  <si>
    <t>LEA-0393</t>
  </si>
  <si>
    <t>LEA-0394</t>
  </si>
  <si>
    <t>Qoute ID</t>
  </si>
  <si>
    <t>Lead Id</t>
  </si>
  <si>
    <t>Quotation Date</t>
  </si>
  <si>
    <t>Quotation Amount</t>
  </si>
  <si>
    <t>Prepared By</t>
  </si>
  <si>
    <t>Deal status</t>
  </si>
  <si>
    <t>Close date</t>
  </si>
  <si>
    <t>Final sale Amount</t>
  </si>
  <si>
    <t>Payment status</t>
  </si>
  <si>
    <t>Advance Amount</t>
  </si>
  <si>
    <t>Advance date</t>
  </si>
  <si>
    <t>Balance Amount</t>
  </si>
  <si>
    <t>Final Payment date</t>
  </si>
  <si>
    <t>Reason Lost</t>
  </si>
  <si>
    <t>Notes</t>
  </si>
  <si>
    <t>FIE-0001</t>
  </si>
  <si>
    <t>FIE-0002</t>
  </si>
  <si>
    <t>Orderd delivered</t>
  </si>
  <si>
    <t>FIE-0003</t>
  </si>
  <si>
    <t>Orderd Nov First Week</t>
  </si>
  <si>
    <t>FIE-0004</t>
  </si>
  <si>
    <t>FIE-0058</t>
  </si>
  <si>
    <t>FIE-0060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</si>
</sst>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2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>
      <sz val="12.0"/>
      <color theme="1"/>
      <name val="Calibri"/>
      <scheme val="minor"/>
    </font>
    <font>
      <sz val="11.0"/>
      <color rgb="FF434343"/>
      <name val="Roboto"/>
    </font>
    <font>
      <sz val="12.0"/>
      <color rgb="FF434343"/>
      <name val="Roboto"/>
    </font>
    <font>
      <sz val="13.0"/>
      <color theme="1"/>
      <name val="Calibri"/>
    </font>
    <font>
      <sz val="12.0"/>
      <color theme="1"/>
      <name val="Calibri"/>
    </font>
    <font>
      <sz val="11.0"/>
      <color rgb="FF434343"/>
      <name val="Calibri"/>
    </font>
    <font>
      <sz val="12.0"/>
      <color rgb="FF434343"/>
      <name val="Calibri"/>
    </font>
    <font>
      <sz val="11.0"/>
      <color theme="1"/>
      <name val="Roboto"/>
    </font>
    <font>
      <color theme="1"/>
      <name val="Roboto"/>
    </font>
    <font>
      <sz val="11.0"/>
      <color theme="1"/>
      <name val="Arial"/>
    </font>
    <font>
      <color theme="1"/>
      <name val="Arial"/>
    </font>
    <font>
      <b/>
      <sz val="10.0"/>
      <color theme="1"/>
      <name val="Calibri"/>
      <scheme val="minor"/>
    </font>
    <font>
      <b/>
      <sz val="11.0"/>
      <color theme="1"/>
      <name val="Calibri"/>
    </font>
    <font>
      <color theme="1"/>
      <name val="&quot;Google Sans Mono&quot;"/>
    </font>
    <font>
      <sz val="8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0F4F9"/>
        <bgColor rgb="FFF0F4F9"/>
      </patternFill>
    </fill>
  </fills>
  <borders count="9">
    <border/>
    <border>
      <left/>
      <right/>
      <top/>
      <bottom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3" fillId="3" fontId="6" numFmtId="164" xfId="0" applyAlignment="1" applyBorder="1" applyFont="1" applyNumberFormat="1">
      <alignment horizontal="right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4" fillId="3" fontId="6" numFmtId="1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vertical="bottom"/>
    </xf>
    <xf borderId="5" fillId="4" fontId="6" numFmtId="0" xfId="0" applyAlignment="1" applyBorder="1" applyFill="1" applyFont="1">
      <alignment horizontal="center" shrinkToFit="0" vertical="center" wrapText="0"/>
    </xf>
    <xf borderId="6" fillId="4" fontId="6" numFmtId="164" xfId="0" applyAlignment="1" applyBorder="1" applyFont="1" applyNumberFormat="1">
      <alignment horizontal="right" shrinkToFit="0" vertical="center" wrapText="0"/>
    </xf>
    <xf borderId="6" fillId="4" fontId="6" numFmtId="0" xfId="0" applyAlignment="1" applyBorder="1" applyFont="1">
      <alignment horizontal="center" shrinkToFit="0" vertical="center" wrapText="0"/>
    </xf>
    <xf borderId="6" fillId="4" fontId="6" numFmtId="0" xfId="0" applyAlignment="1" applyBorder="1" applyFont="1">
      <alignment horizontal="center" shrinkToFit="0" vertical="center" wrapText="0"/>
    </xf>
    <xf borderId="6" fillId="4" fontId="3" numFmtId="0" xfId="0" applyAlignment="1" applyBorder="1" applyFont="1">
      <alignment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6" fillId="4" fontId="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readingOrder="0" shrinkToFit="0" vertical="center" wrapText="0"/>
    </xf>
    <xf borderId="7" fillId="4" fontId="6" numFmtId="14" xfId="0" applyAlignment="1" applyBorder="1" applyFont="1" applyNumberFormat="1">
      <alignment horizontal="center" shrinkToFit="0" vertical="center" wrapText="0"/>
    </xf>
    <xf borderId="3" fillId="3" fontId="8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readingOrder="0" shrinkToFit="0" vertical="center" wrapText="0"/>
    </xf>
    <xf borderId="6" fillId="4" fontId="8" numFmtId="0" xfId="0" applyAlignment="1" applyBorder="1" applyFont="1">
      <alignment horizontal="center" readingOrder="0" shrinkToFit="0" vertical="center" wrapText="0"/>
    </xf>
    <xf borderId="6" fillId="4" fontId="8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3" fillId="4" fontId="9" numFmtId="164" xfId="0" applyAlignment="1" applyBorder="1" applyFont="1" applyNumberFormat="1">
      <alignment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4" fontId="10" numFmtId="0" xfId="0" applyAlignment="1" applyBorder="1" applyFont="1">
      <alignment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4" fillId="3" fontId="6" numFmtId="14" xfId="0" applyAlignment="1" applyBorder="1" applyFont="1" applyNumberFormat="1">
      <alignment horizontal="center" shrinkToFit="0" vertical="bottom" wrapText="0"/>
    </xf>
    <xf borderId="4" fillId="3" fontId="6" numFmtId="14" xfId="0" applyAlignment="1" applyBorder="1" applyFont="1" applyNumberFormat="1">
      <alignment horizontal="center" shrinkToFit="0" wrapText="0"/>
    </xf>
    <xf borderId="6" fillId="4" fontId="6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4" fontId="6" numFmtId="14" xfId="0" applyAlignment="1" applyBorder="1" applyFont="1" applyNumberFormat="1">
      <alignment horizontal="center" shrinkToFit="0" vertical="bottom" wrapText="0"/>
    </xf>
    <xf borderId="7" fillId="4" fontId="6" numFmtId="14" xfId="0" applyAlignment="1" applyBorder="1" applyFont="1" applyNumberFormat="1">
      <alignment horizontal="center" shrinkToFit="0" wrapText="0"/>
    </xf>
    <xf borderId="6" fillId="3" fontId="6" numFmtId="164" xfId="0" applyAlignment="1" applyBorder="1" applyFont="1" applyNumberFormat="1">
      <alignment horizontal="center" readingOrder="0" shrinkToFit="0" vertical="center" wrapText="0"/>
    </xf>
    <xf borderId="6" fillId="4" fontId="6" numFmtId="164" xfId="0" applyAlignment="1" applyBorder="1" applyFont="1" applyNumberFormat="1">
      <alignment horizontal="center" shrinkToFit="0" vertical="center" wrapText="0"/>
    </xf>
    <xf borderId="3" fillId="3" fontId="10" numFmtId="0" xfId="0" applyAlignment="1" applyBorder="1" applyFont="1">
      <alignment horizontal="center" shrinkToFit="0" vertical="center" wrapText="0"/>
    </xf>
    <xf borderId="6" fillId="4" fontId="6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center" readingOrder="0" shrinkToFit="0" vertical="center" wrapText="0"/>
    </xf>
    <xf borderId="6" fillId="4" fontId="10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4" fontId="6" numFmtId="164" xfId="0" applyAlignment="1" applyBorder="1" applyFont="1" applyNumberFormat="1">
      <alignment horizontal="center" readingOrder="0" shrinkToFit="0" vertical="center" wrapText="0"/>
    </xf>
    <xf borderId="3" fillId="3" fontId="6" numFmtId="164" xfId="0" applyAlignment="1" applyBorder="1" applyFont="1" applyNumberFormat="1">
      <alignment horizontal="center" shrinkToFit="0" vertical="center" wrapText="0"/>
    </xf>
    <xf borderId="3" fillId="4" fontId="10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4" fillId="4" fontId="6" numFmtId="14" xfId="0" applyAlignment="1" applyBorder="1" applyFont="1" applyNumberFormat="1">
      <alignment horizontal="center" shrinkToFit="0" vertical="bottom" wrapText="0"/>
    </xf>
    <xf borderId="4" fillId="4" fontId="6" numFmtId="14" xfId="0" applyAlignment="1" applyBorder="1" applyFont="1" applyNumberFormat="1">
      <alignment horizontal="center" shrinkToFit="0" wrapText="0"/>
    </xf>
    <xf borderId="3" fillId="3" fontId="6" numFmtId="164" xfId="0" applyAlignment="1" applyBorder="1" applyFont="1" applyNumberFormat="1">
      <alignment horizontal="center" readingOrder="0" shrinkToFit="0" vertical="center" wrapText="0"/>
    </xf>
    <xf borderId="3" fillId="4" fontId="6" numFmtId="164" xfId="0" applyAlignment="1" applyBorder="1" applyFont="1" applyNumberFormat="1">
      <alignment horizontal="center" shrinkToFit="0" vertical="center" wrapText="0"/>
    </xf>
    <xf borderId="3" fillId="4" fontId="6" numFmtId="0" xfId="0" applyAlignment="1" applyBorder="1" applyFont="1">
      <alignment horizontal="center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4" fillId="3" fontId="3" numFmtId="14" xfId="0" applyBorder="1" applyFont="1" applyNumberFormat="1"/>
    <xf borderId="3" fillId="3" fontId="10" numFmtId="0" xfId="0" applyAlignment="1" applyBorder="1" applyFont="1">
      <alignment horizontal="center" shrinkToFit="0" vertical="center" wrapText="0"/>
    </xf>
    <xf borderId="7" fillId="3" fontId="6" numFmtId="14" xfId="0" applyAlignment="1" applyBorder="1" applyFont="1" applyNumberFormat="1">
      <alignment horizontal="center" shrinkToFit="0" vertical="bottom" wrapText="0"/>
    </xf>
    <xf borderId="7" fillId="3" fontId="6" numFmtId="14" xfId="0" applyAlignment="1" applyBorder="1" applyFont="1" applyNumberFormat="1">
      <alignment horizontal="center" shrinkToFit="0" wrapText="0"/>
    </xf>
    <xf borderId="6" fillId="4" fontId="6" numFmtId="164" xfId="0" applyAlignment="1" applyBorder="1" applyFont="1" applyNumberFormat="1">
      <alignment horizontal="center" readingOrder="0" shrinkToFit="0" vertical="center" wrapText="0"/>
    </xf>
    <xf borderId="6" fillId="3" fontId="6" numFmtId="164" xfId="0" applyAlignment="1" applyBorder="1" applyFont="1" applyNumberFormat="1">
      <alignment horizontal="center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6" fillId="4" fontId="6" numFmtId="0" xfId="0" applyAlignment="1" applyBorder="1" applyFont="1">
      <alignment horizontal="center" readingOrder="0" shrinkToFit="0" vertical="center" wrapText="0"/>
    </xf>
    <xf borderId="3" fillId="3" fontId="10" numFmtId="0" xfId="0" applyAlignment="1" applyBorder="1" applyFont="1">
      <alignment shrinkToFit="0" vertical="center" wrapText="0"/>
    </xf>
    <xf borderId="3" fillId="4" fontId="10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3" fillId="4" fontId="8" numFmtId="164" xfId="0" applyAlignment="1" applyBorder="1" applyFont="1" applyNumberFormat="1">
      <alignment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bottom" wrapText="0"/>
    </xf>
    <xf borderId="3" fillId="4" fontId="3" numFmtId="0" xfId="0" applyAlignment="1" applyBorder="1" applyFont="1">
      <alignment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3" fillId="3" fontId="11" numFmtId="164" xfId="0" applyAlignment="1" applyBorder="1" applyFont="1" applyNumberFormat="1">
      <alignment horizontal="right"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4" fontId="6" numFmtId="14" xfId="0" applyAlignment="1" applyBorder="1" applyFont="1" applyNumberFormat="1">
      <alignment horizontal="center" shrinkToFit="0" vertical="bottom" wrapText="0"/>
    </xf>
    <xf borderId="3" fillId="4" fontId="11" numFmtId="164" xfId="0" applyAlignment="1" applyBorder="1" applyFont="1" applyNumberFormat="1">
      <alignment horizontal="right"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7" fillId="3" fontId="3" numFmtId="14" xfId="0" applyAlignment="1" applyBorder="1" applyFont="1" applyNumberFormat="1">
      <alignment shrinkToFit="0" vertical="center" wrapText="0"/>
    </xf>
    <xf borderId="3" fillId="4" fontId="3" numFmtId="164" xfId="0" applyAlignment="1" applyBorder="1" applyFont="1" applyNumberFormat="1">
      <alignment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shrinkToFit="0" vertical="center" wrapText="0"/>
    </xf>
    <xf borderId="7" fillId="4" fontId="3" numFmtId="14" xfId="0" applyAlignment="1" applyBorder="1" applyFont="1" applyNumberFormat="1">
      <alignment shrinkToFit="0" vertical="center" wrapText="0"/>
    </xf>
    <xf borderId="6" fillId="3" fontId="6" numFmtId="0" xfId="0" applyAlignment="1" applyBorder="1" applyFont="1">
      <alignment horizontal="center" readingOrder="0" shrinkToFit="0" vertical="center" wrapText="0"/>
    </xf>
    <xf borderId="6" fillId="4" fontId="6" numFmtId="0" xfId="0" applyAlignment="1" applyBorder="1" applyFont="1">
      <alignment horizontal="center" readingOrder="0" shrinkToFit="0" vertical="center" wrapText="0"/>
    </xf>
    <xf borderId="4" fillId="4" fontId="3" numFmtId="14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shrinkToFit="0" vertical="center" wrapText="0"/>
    </xf>
    <xf borderId="4" fillId="3" fontId="3" numFmtId="14" xfId="0" applyAlignment="1" applyBorder="1" applyFont="1" applyNumberForma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readingOrder="0" shrinkToFit="0" vertical="center" wrapText="0"/>
    </xf>
    <xf borderId="3" fillId="3" fontId="10" numFmtId="0" xfId="0" applyAlignment="1" applyBorder="1" applyFont="1">
      <alignment horizontal="center" readingOrder="0" shrinkToFit="0" vertical="center" wrapText="0"/>
    </xf>
    <xf borderId="3" fillId="3" fontId="10" numFmtId="0" xfId="0" applyAlignment="1" applyBorder="1" applyFont="1">
      <alignment horizontal="center" readingOrder="0" shrinkToFit="0" vertical="center" wrapText="0"/>
    </xf>
    <xf borderId="3" fillId="4" fontId="10" numFmtId="0" xfId="0" applyAlignment="1" applyBorder="1" applyFont="1">
      <alignment horizontal="center" readingOrder="0" shrinkToFit="0" vertical="center" wrapText="0"/>
    </xf>
    <xf borderId="6" fillId="3" fontId="3" numFmtId="164" xfId="0" applyAlignment="1" applyBorder="1" applyFont="1" applyNumberForma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3" fillId="4" fontId="10" numFmtId="164" xfId="0" applyAlignment="1" applyBorder="1" applyFont="1" applyNumberFormat="1">
      <alignment horizontal="center" readingOrder="0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3" numFmtId="14" xfId="0" applyAlignment="1" applyBorder="1" applyFont="1" applyNumberFormat="1">
      <alignment horizontal="center" shrinkToFit="0" vertical="center" wrapText="0"/>
    </xf>
    <xf borderId="6" fillId="4" fontId="3" numFmtId="164" xfId="0" applyAlignment="1" applyBorder="1" applyFont="1" applyNumberForma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shrinkToFit="0" vertical="center" wrapText="0"/>
    </xf>
    <xf borderId="6" fillId="4" fontId="6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shrinkToFit="0" vertical="center" wrapText="0"/>
    </xf>
    <xf borderId="6" fillId="4" fontId="3" numFmtId="0" xfId="0" applyAlignment="1" applyBorder="1" applyFont="1">
      <alignment horizontal="center" shrinkToFit="0" vertical="center" wrapText="0"/>
    </xf>
    <xf borderId="3" fillId="4" fontId="3" numFmtId="164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4" fillId="4" fontId="6" numFmtId="14" xfId="0" applyAlignment="1" applyBorder="1" applyFont="1" applyNumberForma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164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6" fillId="4" fontId="10" numFmtId="0" xfId="0" applyAlignment="1" applyBorder="1" applyFont="1">
      <alignment horizontal="center" readingOrder="0" shrinkToFit="0" vertical="center" wrapText="0"/>
    </xf>
    <xf borderId="0" fillId="4" fontId="3" numFmtId="164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8" fillId="4" fontId="6" numFmtId="14" xfId="0" applyAlignment="1" applyBorder="1" applyFont="1" applyNumberFormat="1">
      <alignment horizontal="center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4" fontId="6" numFmtId="14" xfId="0" applyAlignment="1" applyFont="1" applyNumberFormat="1">
      <alignment horizontal="center" shrinkToFit="0" vertical="center" wrapText="0"/>
    </xf>
    <xf borderId="0" fillId="4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6" fontId="4" numFmtId="49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4" xfId="0" applyAlignment="1" applyFont="1" applyNumberFormat="1">
      <alignment horizontal="center" readingOrder="0" shrinkToFit="0" vertical="center" wrapText="1"/>
    </xf>
    <xf borderId="0" fillId="0" fontId="2" numFmtId="0" xfId="0" applyFont="1"/>
    <xf borderId="0" fillId="0" fontId="2" numFmtId="164" xfId="0" applyFont="1" applyNumberFormat="1"/>
    <xf borderId="1" fillId="7" fontId="17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0" fillId="8" fontId="18" numFmtId="0" xfId="0" applyFill="1" applyFont="1"/>
    <xf borderId="0" fillId="0" fontId="3" numFmtId="9" xfId="0" applyFont="1" applyNumberFormat="1"/>
    <xf borderId="0" fillId="0" fontId="3" numFmtId="9" xfId="0" applyAlignment="1" applyFont="1" applyNumberFormat="1">
      <alignment horizontal="center"/>
    </xf>
    <xf borderId="0" fillId="4" fontId="1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LD VIS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OTATIONS &amp; DE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411" displayName="Leads" name="Leads" id="1">
  <tableColumns count="19">
    <tableColumn name="Lead ID" id="1"/>
    <tableColumn name="Created Date" id="2"/>
    <tableColumn name="Lead Owner" id="3"/>
    <tableColumn name="Source" id="4"/>
    <tableColumn name="Farmer Name" id="5"/>
    <tableColumn name="Phone" id="6"/>
    <tableColumn name="Alt Phone" id="7"/>
    <tableColumn name="WhatsApp" id="8"/>
    <tableColumn name="Village" id="9"/>
    <tableColumn name="Taluk" id="10"/>
    <tableColumn name="District" id="11"/>
    <tableColumn name="Farm Size (acres)" id="12"/>
    <tableColumn name="Crop Type" id="13"/>
    <tableColumn name="Crop Age" id="14"/>
    <tableColumn name="No. Of Plants" id="15"/>
    <tableColumn name="Irrigation Type" id="16"/>
    <tableColumn name="Initial Notes" id="17"/>
    <tableColumn name="Lead Status" id="18"/>
    <tableColumn name="Last Updated" id="19"/>
  </tableColumns>
  <tableStyleInfo name="LEADS-style" showColumnStripes="0" showFirstColumn="1" showLastColumn="1" showRowStripes="1"/>
</table>
</file>

<file path=xl/tables/table2.xml><?xml version="1.0" encoding="utf-8"?>
<table xmlns="http://schemas.openxmlformats.org/spreadsheetml/2006/main" ref="A1:O71" displayName="Field_Visit" name="Field_Visit" id="2">
  <autoFilter ref="$A$1:$O$71">
    <filterColumn colId="7">
      <filters>
        <filter val="18/01/2026"/>
      </filters>
    </filterColumn>
  </autoFilter>
  <tableColumns count="15">
    <tableColumn name="Visit ID" id="1"/>
    <tableColumn name="Lead ID" id="2"/>
    <tableColumn name="Farmer Name" id="3"/>
    <tableColumn name="Mobile Number" id="4"/>
    <tableColumn name="Village" id="5"/>
    <tableColumn name="Taluk" id="6"/>
    <tableColumn name="Number of Plants" id="7"/>
    <tableColumn name="Visit Scheduled Date" id="8"/>
    <tableColumn name="Visit Actual Date" id="9"/>
    <tableColumn name="Visited By" id="10"/>
    <tableColumn name="Visit Outcome" id="11"/>
    <tableColumn name="Visit Notes" id="12"/>
    <tableColumn name="Diagnosis Report Sent for Quotation" id="13"/>
    <tableColumn name="Next Follow-up Date" id="14"/>
    <tableColumn name="Status" id="15"/>
  </tableColumns>
  <tableStyleInfo name="FIELD VISITS-style" showColumnStripes="0" showFirstColumn="1" showLastColumn="1" showRowStripes="1"/>
</table>
</file>

<file path=xl/tables/table3.xml><?xml version="1.0" encoding="utf-8"?>
<table xmlns="http://schemas.openxmlformats.org/spreadsheetml/2006/main" ref="A1:R7" displayName="Quatation" name="Quatation" id="3">
  <tableColumns count="18">
    <tableColumn name="Qoute ID" id="1"/>
    <tableColumn name="Visit ID" id="2"/>
    <tableColumn name="Lead Id" id="3"/>
    <tableColumn name="Farmer Name" id="4"/>
    <tableColumn name="Quotation Date" id="5"/>
    <tableColumn name="Quotation Amount" id="6"/>
    <tableColumn name="Prepared By" id="7"/>
    <tableColumn name="Deal status" id="8"/>
    <tableColumn name="Close date" id="9"/>
    <tableColumn name="Final sale Amount" id="10"/>
    <tableColumn name="Payment status" id="11"/>
    <tableColumn name="Advance Amount" id="12"/>
    <tableColumn name="Advance date" id="13"/>
    <tableColumn name="Balance Amount" id="14"/>
    <tableColumn name="Final Payment date" id="15"/>
    <tableColumn name="Reason Lost" id="16"/>
    <tableColumn name="Notes" id="17"/>
    <tableColumn name="Last Updated" id="18"/>
  </tableColumns>
  <tableStyleInfo name="QUOTATIONS &amp; DE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0" width="22.0"/>
    <col customWidth="1" min="11" max="11" width="15.0"/>
    <col customWidth="1" min="12" max="12" width="13.29"/>
    <col customWidth="1" min="13" max="13" width="20.43"/>
    <col customWidth="1" min="14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5" t="s">
        <v>20</v>
      </c>
      <c r="I2" s="4" t="s">
        <v>21</v>
      </c>
      <c r="J2" s="4" t="s">
        <v>22</v>
      </c>
      <c r="K2" s="3" t="s">
        <v>23</v>
      </c>
      <c r="L2" s="3" t="s">
        <v>24</v>
      </c>
      <c r="M2" s="3" t="s">
        <v>25</v>
      </c>
    </row>
    <row r="3">
      <c r="A3" s="4" t="s">
        <v>26</v>
      </c>
      <c r="B3" s="5" t="s">
        <v>27</v>
      </c>
      <c r="C3" s="5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3" t="s">
        <v>33</v>
      </c>
      <c r="I3" s="4" t="s">
        <v>34</v>
      </c>
      <c r="J3" s="4" t="s">
        <v>35</v>
      </c>
      <c r="K3" s="3" t="s">
        <v>36</v>
      </c>
      <c r="L3" s="3" t="s">
        <v>25</v>
      </c>
      <c r="M3" s="3" t="s">
        <v>37</v>
      </c>
    </row>
    <row r="4">
      <c r="A4" s="4" t="s">
        <v>38</v>
      </c>
      <c r="B4" s="5" t="s">
        <v>39</v>
      </c>
      <c r="C4" s="4"/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M4" s="5" t="s">
        <v>14</v>
      </c>
    </row>
    <row r="5">
      <c r="A5" s="4" t="s">
        <v>47</v>
      </c>
      <c r="B5" s="5" t="s">
        <v>37</v>
      </c>
      <c r="C5" s="4"/>
      <c r="D5" s="4" t="s">
        <v>48</v>
      </c>
      <c r="E5" s="4" t="s">
        <v>49</v>
      </c>
      <c r="F5" s="4" t="s">
        <v>50</v>
      </c>
      <c r="G5" s="4" t="s">
        <v>51</v>
      </c>
      <c r="H5" s="5" t="s">
        <v>52</v>
      </c>
      <c r="I5" s="5" t="s">
        <v>53</v>
      </c>
      <c r="J5" s="4" t="s">
        <v>54</v>
      </c>
    </row>
    <row r="6">
      <c r="A6" s="4" t="s">
        <v>55</v>
      </c>
      <c r="B6" s="5" t="s">
        <v>25</v>
      </c>
      <c r="C6" s="4"/>
      <c r="D6" s="4" t="s">
        <v>56</v>
      </c>
      <c r="E6" s="4" t="s">
        <v>57</v>
      </c>
      <c r="F6" s="4" t="s">
        <v>58</v>
      </c>
      <c r="G6" s="4" t="s">
        <v>59</v>
      </c>
      <c r="H6" s="5" t="s">
        <v>60</v>
      </c>
      <c r="J6" s="4" t="s">
        <v>61</v>
      </c>
    </row>
    <row r="7">
      <c r="A7" s="4" t="s">
        <v>62</v>
      </c>
      <c r="B7" s="3" t="s">
        <v>63</v>
      </c>
      <c r="C7" s="4"/>
      <c r="D7" s="4" t="s">
        <v>64</v>
      </c>
      <c r="E7" s="4" t="s">
        <v>65</v>
      </c>
      <c r="G7" s="4" t="s">
        <v>66</v>
      </c>
      <c r="H7" s="5" t="s">
        <v>67</v>
      </c>
      <c r="J7" s="4" t="s">
        <v>68</v>
      </c>
    </row>
    <row r="8">
      <c r="A8" s="3" t="s">
        <v>69</v>
      </c>
      <c r="B8" s="3" t="s">
        <v>70</v>
      </c>
      <c r="C8" s="4"/>
      <c r="D8" s="4" t="s">
        <v>71</v>
      </c>
      <c r="H8" s="3" t="s">
        <v>72</v>
      </c>
      <c r="J8" s="4" t="s">
        <v>73</v>
      </c>
    </row>
    <row r="9">
      <c r="C9" s="4"/>
      <c r="D9" s="4" t="s">
        <v>74</v>
      </c>
      <c r="J9" s="4" t="s">
        <v>75</v>
      </c>
    </row>
    <row r="10">
      <c r="C10" s="4"/>
      <c r="D10" s="4" t="s">
        <v>76</v>
      </c>
      <c r="J10" s="4" t="s">
        <v>77</v>
      </c>
    </row>
    <row r="11">
      <c r="C11" s="4"/>
      <c r="D11" s="4" t="s">
        <v>78</v>
      </c>
      <c r="J11" s="4" t="s">
        <v>79</v>
      </c>
    </row>
    <row r="12">
      <c r="J12" s="4" t="s">
        <v>80</v>
      </c>
    </row>
    <row r="13">
      <c r="J13" s="4" t="s">
        <v>81</v>
      </c>
    </row>
    <row r="14">
      <c r="J14" s="4" t="s">
        <v>82</v>
      </c>
    </row>
    <row r="15">
      <c r="J15" s="4" t="s">
        <v>83</v>
      </c>
    </row>
    <row r="16">
      <c r="J16" s="4" t="s">
        <v>84</v>
      </c>
    </row>
    <row r="17">
      <c r="J17" s="4" t="s">
        <v>85</v>
      </c>
    </row>
    <row r="18">
      <c r="J18" s="4" t="s">
        <v>86</v>
      </c>
    </row>
    <row r="19">
      <c r="J19" s="4" t="s">
        <v>87</v>
      </c>
    </row>
    <row r="20">
      <c r="J20" s="4" t="s">
        <v>88</v>
      </c>
    </row>
    <row r="21" ht="15.75" customHeight="1">
      <c r="J21" s="4" t="s">
        <v>89</v>
      </c>
    </row>
    <row r="22" ht="15.75" customHeight="1">
      <c r="J22" s="4" t="s">
        <v>90</v>
      </c>
    </row>
    <row r="23" ht="15.75" customHeight="1">
      <c r="J23" s="4" t="s">
        <v>91</v>
      </c>
    </row>
    <row r="24" ht="15.75" customHeight="1">
      <c r="J24" s="4" t="s">
        <v>92</v>
      </c>
    </row>
    <row r="25" ht="15.75" customHeight="1">
      <c r="J25" s="4" t="s">
        <v>93</v>
      </c>
    </row>
    <row r="26" ht="15.75" customHeight="1">
      <c r="J26" s="4" t="s">
        <v>94</v>
      </c>
    </row>
    <row r="27" ht="15.75" customHeight="1">
      <c r="J27" s="4" t="s">
        <v>95</v>
      </c>
    </row>
    <row r="28" ht="15.75" customHeight="1">
      <c r="J28" s="4" t="s">
        <v>96</v>
      </c>
    </row>
    <row r="29" ht="15.75" customHeight="1">
      <c r="J29" s="4" t="s">
        <v>97</v>
      </c>
    </row>
    <row r="30" ht="15.75" customHeight="1">
      <c r="J30" s="4" t="s">
        <v>98</v>
      </c>
    </row>
    <row r="31" ht="15.75" customHeight="1">
      <c r="J31" s="4" t="s">
        <v>99</v>
      </c>
    </row>
    <row r="32" ht="15.75" customHeight="1">
      <c r="J32" s="4" t="s">
        <v>100</v>
      </c>
    </row>
    <row r="33" ht="15.75" customHeight="1">
      <c r="J33" s="5" t="s">
        <v>101</v>
      </c>
    </row>
    <row r="34" ht="15.75" customHeight="1">
      <c r="J34" s="3" t="s">
        <v>102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14"/>
    <col customWidth="1" min="3" max="3" width="21.14"/>
    <col customWidth="1" min="4" max="4" width="21.0"/>
    <col customWidth="1" min="5" max="5" width="33.29"/>
    <col customWidth="1" min="6" max="6" width="13.0"/>
    <col customWidth="1" min="7" max="7" width="16.43"/>
    <col customWidth="1" min="8" max="8" width="16.86"/>
    <col customWidth="1" min="9" max="9" width="18.29"/>
    <col customWidth="1" min="10" max="10" width="18.0"/>
    <col customWidth="1" min="11" max="11" width="18.57"/>
    <col customWidth="1" min="12" max="12" width="15.0"/>
    <col customWidth="1" min="13" max="13" width="19.57"/>
    <col customWidth="1" min="14" max="14" width="18.71"/>
    <col customWidth="1" min="15" max="15" width="14.14"/>
    <col customWidth="1" min="16" max="16" width="25.0"/>
    <col customWidth="1" min="17" max="17" width="15.0"/>
    <col customWidth="1" min="18" max="18" width="16.14"/>
    <col customWidth="1" min="19" max="19" width="13.71"/>
    <col customWidth="1" min="20" max="26" width="8.71"/>
  </cols>
  <sheetData>
    <row r="1" ht="22.5" customHeight="1">
      <c r="A1" s="6" t="s">
        <v>103</v>
      </c>
      <c r="B1" s="6" t="s">
        <v>104</v>
      </c>
      <c r="C1" s="6" t="s">
        <v>1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110</v>
      </c>
      <c r="J1" s="6" t="s">
        <v>111</v>
      </c>
      <c r="K1" s="6" t="s">
        <v>112</v>
      </c>
      <c r="L1" s="6" t="s">
        <v>113</v>
      </c>
      <c r="M1" s="6" t="s">
        <v>3</v>
      </c>
      <c r="N1" s="7" t="s">
        <v>114</v>
      </c>
      <c r="O1" s="6" t="s">
        <v>115</v>
      </c>
      <c r="P1" s="6" t="s">
        <v>5</v>
      </c>
      <c r="Q1" s="6" t="s">
        <v>116</v>
      </c>
      <c r="R1" s="6" t="s">
        <v>2</v>
      </c>
      <c r="S1" s="6" t="s">
        <v>117</v>
      </c>
      <c r="T1" s="8"/>
      <c r="U1" s="8"/>
      <c r="V1" s="8"/>
      <c r="W1" s="8"/>
      <c r="X1" s="8"/>
      <c r="Y1" s="8"/>
      <c r="Z1" s="8"/>
    </row>
    <row r="2" ht="22.5" customHeight="1">
      <c r="A2" s="9" t="str">
        <f t="shared" ref="A2:A411" si="1">IF(E2&lt;&gt;"", "LEA-"&amp;TEXT(ROW()-1, "0000"), "")</f>
        <v>LEA-0001</v>
      </c>
      <c r="B2" s="10">
        <v>45956.0</v>
      </c>
      <c r="C2" s="11" t="s">
        <v>25</v>
      </c>
      <c r="D2" s="11" t="s">
        <v>47</v>
      </c>
      <c r="E2" s="12" t="s">
        <v>118</v>
      </c>
      <c r="F2" s="12">
        <v>7.483510354E9</v>
      </c>
      <c r="G2" s="9"/>
      <c r="H2" s="9"/>
      <c r="I2" s="12" t="s">
        <v>119</v>
      </c>
      <c r="J2" s="12" t="s">
        <v>120</v>
      </c>
      <c r="K2" s="11" t="s">
        <v>77</v>
      </c>
      <c r="L2" s="12">
        <v>10.0</v>
      </c>
      <c r="M2" s="11" t="s">
        <v>16</v>
      </c>
      <c r="N2" s="13"/>
      <c r="O2" s="12">
        <v>6600.0</v>
      </c>
      <c r="P2" s="11" t="s">
        <v>31</v>
      </c>
      <c r="Q2" s="9"/>
      <c r="R2" s="11" t="s">
        <v>15</v>
      </c>
      <c r="S2" s="14">
        <f t="shared" ref="S2:S160" si="2">IF(E2&lt;&gt;"",TODAY(),"")</f>
        <v>46039</v>
      </c>
      <c r="T2" s="8"/>
      <c r="U2" s="8"/>
      <c r="V2" s="8"/>
      <c r="W2" s="8"/>
      <c r="X2" s="8"/>
      <c r="Y2" s="8"/>
      <c r="Z2" s="8"/>
    </row>
    <row r="3" ht="22.5" customHeight="1">
      <c r="A3" s="9" t="str">
        <f t="shared" si="1"/>
        <v>LEA-0002</v>
      </c>
      <c r="B3" s="10">
        <v>45932.0</v>
      </c>
      <c r="C3" s="11" t="s">
        <v>25</v>
      </c>
      <c r="D3" s="11" t="s">
        <v>47</v>
      </c>
      <c r="E3" s="12" t="s">
        <v>121</v>
      </c>
      <c r="F3" s="12">
        <v>9.620945945E9</v>
      </c>
      <c r="G3" s="9"/>
      <c r="H3" s="9"/>
      <c r="I3" s="12" t="s">
        <v>122</v>
      </c>
      <c r="J3" s="12" t="s">
        <v>75</v>
      </c>
      <c r="K3" s="11" t="s">
        <v>75</v>
      </c>
      <c r="L3" s="12">
        <v>7.0</v>
      </c>
      <c r="M3" s="11" t="s">
        <v>16</v>
      </c>
      <c r="N3" s="13"/>
      <c r="O3" s="12">
        <v>3800.0</v>
      </c>
      <c r="P3" s="11" t="s">
        <v>18</v>
      </c>
      <c r="Q3" s="9"/>
      <c r="R3" s="11" t="s">
        <v>15</v>
      </c>
      <c r="S3" s="14">
        <f t="shared" si="2"/>
        <v>46039</v>
      </c>
      <c r="T3" s="8"/>
      <c r="U3" s="8"/>
      <c r="V3" s="8"/>
      <c r="W3" s="8"/>
      <c r="X3" s="8"/>
      <c r="Y3" s="8"/>
      <c r="Z3" s="8"/>
    </row>
    <row r="4" ht="22.5" customHeight="1">
      <c r="A4" s="9" t="str">
        <f t="shared" si="1"/>
        <v>LEA-0003</v>
      </c>
      <c r="B4" s="15">
        <v>45924.0</v>
      </c>
      <c r="C4" s="16" t="s">
        <v>37</v>
      </c>
      <c r="D4" s="16" t="s">
        <v>26</v>
      </c>
      <c r="E4" s="17" t="s">
        <v>123</v>
      </c>
      <c r="F4" s="17">
        <v>9.448245065E9</v>
      </c>
      <c r="G4" s="17">
        <v>8.660163616E9</v>
      </c>
      <c r="H4" s="18"/>
      <c r="I4" s="17" t="s">
        <v>124</v>
      </c>
      <c r="J4" s="17" t="s">
        <v>125</v>
      </c>
      <c r="K4" s="16" t="s">
        <v>79</v>
      </c>
      <c r="L4" s="17">
        <v>5.0</v>
      </c>
      <c r="M4" s="16" t="s">
        <v>16</v>
      </c>
      <c r="N4" s="19">
        <v>6.0</v>
      </c>
      <c r="O4" s="17">
        <v>2400.0</v>
      </c>
      <c r="P4" s="16" t="s">
        <v>18</v>
      </c>
      <c r="Q4" s="18"/>
      <c r="R4" s="16" t="s">
        <v>15</v>
      </c>
      <c r="S4" s="14">
        <f t="shared" si="2"/>
        <v>46039</v>
      </c>
      <c r="T4" s="8"/>
      <c r="U4" s="8"/>
      <c r="V4" s="8"/>
      <c r="W4" s="8"/>
      <c r="X4" s="8"/>
      <c r="Y4" s="8"/>
      <c r="Z4" s="8"/>
    </row>
    <row r="5" ht="22.5" customHeight="1">
      <c r="A5" s="9" t="str">
        <f t="shared" si="1"/>
        <v>LEA-0004</v>
      </c>
      <c r="B5" s="15">
        <v>45956.0</v>
      </c>
      <c r="C5" s="16" t="s">
        <v>25</v>
      </c>
      <c r="D5" s="16" t="s">
        <v>26</v>
      </c>
      <c r="E5" s="17" t="s">
        <v>126</v>
      </c>
      <c r="F5" s="17">
        <v>9.845526274E9</v>
      </c>
      <c r="G5" s="17">
        <v>9.342745626E9</v>
      </c>
      <c r="H5" s="17">
        <v>9.980341933E9</v>
      </c>
      <c r="I5" s="17" t="s">
        <v>127</v>
      </c>
      <c r="J5" s="17" t="s">
        <v>77</v>
      </c>
      <c r="K5" s="16" t="s">
        <v>77</v>
      </c>
      <c r="L5" s="17">
        <v>18.0</v>
      </c>
      <c r="M5" s="16" t="s">
        <v>16</v>
      </c>
      <c r="N5" s="19">
        <v>20.0</v>
      </c>
      <c r="O5" s="17">
        <v>9000.0</v>
      </c>
      <c r="P5" s="16" t="s">
        <v>31</v>
      </c>
      <c r="Q5" s="18"/>
      <c r="R5" s="16" t="s">
        <v>15</v>
      </c>
      <c r="S5" s="14">
        <f t="shared" si="2"/>
        <v>46039</v>
      </c>
      <c r="T5" s="8"/>
      <c r="U5" s="8"/>
      <c r="V5" s="8"/>
      <c r="W5" s="8"/>
      <c r="X5" s="8"/>
      <c r="Y5" s="8"/>
      <c r="Z5" s="8"/>
    </row>
    <row r="6" ht="22.5" customHeight="1">
      <c r="A6" s="9" t="str">
        <f t="shared" si="1"/>
        <v>LEA-0005</v>
      </c>
      <c r="B6" s="15">
        <v>45955.0</v>
      </c>
      <c r="C6" s="16" t="s">
        <v>39</v>
      </c>
      <c r="D6" s="16" t="s">
        <v>62</v>
      </c>
      <c r="E6" s="17" t="s">
        <v>128</v>
      </c>
      <c r="F6" s="17">
        <v>9.731159508E9</v>
      </c>
      <c r="G6" s="17"/>
      <c r="H6" s="17"/>
      <c r="I6" s="17" t="s">
        <v>129</v>
      </c>
      <c r="J6" s="17" t="s">
        <v>130</v>
      </c>
      <c r="K6" s="16" t="s">
        <v>77</v>
      </c>
      <c r="L6" s="17">
        <v>1.5</v>
      </c>
      <c r="M6" s="16" t="s">
        <v>16</v>
      </c>
      <c r="N6" s="19">
        <v>5.0</v>
      </c>
      <c r="O6" s="17">
        <v>800.0</v>
      </c>
      <c r="P6" s="16" t="s">
        <v>42</v>
      </c>
      <c r="Q6" s="18"/>
      <c r="R6" s="16" t="s">
        <v>15</v>
      </c>
      <c r="S6" s="14">
        <f t="shared" si="2"/>
        <v>46039</v>
      </c>
      <c r="T6" s="8"/>
      <c r="U6" s="8"/>
      <c r="V6" s="8"/>
      <c r="W6" s="8"/>
      <c r="X6" s="8"/>
      <c r="Y6" s="8"/>
      <c r="Z6" s="8"/>
    </row>
    <row r="7" ht="22.5" customHeight="1">
      <c r="A7" s="9" t="str">
        <f t="shared" si="1"/>
        <v>LEA-0006</v>
      </c>
      <c r="B7" s="15">
        <v>45955.0</v>
      </c>
      <c r="C7" s="16" t="s">
        <v>39</v>
      </c>
      <c r="D7" s="16" t="s">
        <v>62</v>
      </c>
      <c r="E7" s="17" t="s">
        <v>131</v>
      </c>
      <c r="F7" s="17">
        <v>6.362825605E9</v>
      </c>
      <c r="G7" s="17"/>
      <c r="H7" s="17"/>
      <c r="I7" s="17" t="s">
        <v>132</v>
      </c>
      <c r="J7" s="17" t="s">
        <v>130</v>
      </c>
      <c r="K7" s="16" t="s">
        <v>77</v>
      </c>
      <c r="L7" s="17">
        <v>26.0</v>
      </c>
      <c r="M7" s="16" t="s">
        <v>16</v>
      </c>
      <c r="N7" s="19">
        <v>15.0</v>
      </c>
      <c r="O7" s="17">
        <v>13000.0</v>
      </c>
      <c r="P7" s="16" t="s">
        <v>42</v>
      </c>
      <c r="Q7" s="18"/>
      <c r="R7" s="16" t="s">
        <v>15</v>
      </c>
      <c r="S7" s="14">
        <f t="shared" si="2"/>
        <v>46039</v>
      </c>
      <c r="T7" s="8"/>
      <c r="U7" s="8"/>
      <c r="V7" s="8"/>
      <c r="W7" s="8"/>
      <c r="X7" s="8"/>
      <c r="Y7" s="8"/>
      <c r="Z7" s="8"/>
    </row>
    <row r="8" ht="22.5" customHeight="1">
      <c r="A8" s="9" t="str">
        <f t="shared" si="1"/>
        <v>LEA-0007</v>
      </c>
      <c r="B8" s="15">
        <v>45955.0</v>
      </c>
      <c r="C8" s="16" t="s">
        <v>39</v>
      </c>
      <c r="D8" s="16" t="s">
        <v>62</v>
      </c>
      <c r="E8" s="17" t="s">
        <v>133</v>
      </c>
      <c r="F8" s="17">
        <v>8.74890578E9</v>
      </c>
      <c r="G8" s="17"/>
      <c r="H8" s="17"/>
      <c r="I8" s="17" t="s">
        <v>132</v>
      </c>
      <c r="J8" s="17" t="s">
        <v>130</v>
      </c>
      <c r="K8" s="16" t="s">
        <v>77</v>
      </c>
      <c r="L8" s="17">
        <v>1.5</v>
      </c>
      <c r="M8" s="16" t="s">
        <v>16</v>
      </c>
      <c r="N8" s="19">
        <v>25.0</v>
      </c>
      <c r="O8" s="17">
        <v>800.0</v>
      </c>
      <c r="P8" s="16" t="s">
        <v>42</v>
      </c>
      <c r="Q8" s="18"/>
      <c r="R8" s="16" t="s">
        <v>15</v>
      </c>
      <c r="S8" s="14">
        <f t="shared" si="2"/>
        <v>46039</v>
      </c>
      <c r="T8" s="8"/>
      <c r="U8" s="8"/>
      <c r="V8" s="8"/>
      <c r="W8" s="8"/>
      <c r="X8" s="8"/>
      <c r="Y8" s="8"/>
      <c r="Z8" s="8"/>
    </row>
    <row r="9" ht="22.5" customHeight="1">
      <c r="A9" s="9" t="str">
        <f t="shared" si="1"/>
        <v>LEA-0008</v>
      </c>
      <c r="B9" s="15">
        <v>45955.0</v>
      </c>
      <c r="C9" s="16" t="s">
        <v>39</v>
      </c>
      <c r="D9" s="16" t="s">
        <v>62</v>
      </c>
      <c r="E9" s="17" t="s">
        <v>134</v>
      </c>
      <c r="F9" s="17">
        <v>9.663715896E9</v>
      </c>
      <c r="G9" s="17"/>
      <c r="H9" s="17"/>
      <c r="I9" s="17" t="s">
        <v>135</v>
      </c>
      <c r="J9" s="17" t="s">
        <v>130</v>
      </c>
      <c r="K9" s="16" t="s">
        <v>77</v>
      </c>
      <c r="L9" s="17">
        <v>1.5</v>
      </c>
      <c r="M9" s="16" t="s">
        <v>16</v>
      </c>
      <c r="N9" s="19">
        <v>23.0</v>
      </c>
      <c r="O9" s="17">
        <v>800.0</v>
      </c>
      <c r="P9" s="16" t="s">
        <v>42</v>
      </c>
      <c r="Q9" s="18"/>
      <c r="R9" s="16" t="s">
        <v>15</v>
      </c>
      <c r="S9" s="14">
        <f t="shared" si="2"/>
        <v>46039</v>
      </c>
      <c r="T9" s="8"/>
      <c r="U9" s="8"/>
      <c r="V9" s="8"/>
      <c r="W9" s="8"/>
      <c r="X9" s="8"/>
      <c r="Y9" s="8"/>
      <c r="Z9" s="8"/>
    </row>
    <row r="10" ht="22.5" customHeight="1">
      <c r="A10" s="9" t="str">
        <f t="shared" si="1"/>
        <v>LEA-0009</v>
      </c>
      <c r="B10" s="15">
        <v>45955.0</v>
      </c>
      <c r="C10" s="16" t="s">
        <v>39</v>
      </c>
      <c r="D10" s="16" t="s">
        <v>62</v>
      </c>
      <c r="E10" s="17" t="s">
        <v>136</v>
      </c>
      <c r="F10" s="17">
        <v>9.448207995E9</v>
      </c>
      <c r="G10" s="17"/>
      <c r="H10" s="17"/>
      <c r="I10" s="17" t="s">
        <v>137</v>
      </c>
      <c r="J10" s="17" t="s">
        <v>77</v>
      </c>
      <c r="K10" s="16" t="s">
        <v>77</v>
      </c>
      <c r="L10" s="17">
        <v>4.0</v>
      </c>
      <c r="M10" s="16" t="s">
        <v>16</v>
      </c>
      <c r="N10" s="19">
        <v>4.0</v>
      </c>
      <c r="O10" s="17">
        <v>2000.0</v>
      </c>
      <c r="P10" s="16" t="s">
        <v>42</v>
      </c>
      <c r="Q10" s="18"/>
      <c r="R10" s="16" t="s">
        <v>15</v>
      </c>
      <c r="S10" s="14">
        <f t="shared" si="2"/>
        <v>46039</v>
      </c>
      <c r="T10" s="8"/>
      <c r="U10" s="8"/>
      <c r="V10" s="8"/>
      <c r="W10" s="8"/>
      <c r="X10" s="8"/>
      <c r="Y10" s="8"/>
      <c r="Z10" s="8"/>
    </row>
    <row r="11" ht="22.5" customHeight="1">
      <c r="A11" s="9" t="str">
        <f t="shared" si="1"/>
        <v>LEA-0010</v>
      </c>
      <c r="B11" s="15">
        <v>45955.0</v>
      </c>
      <c r="C11" s="16" t="s">
        <v>39</v>
      </c>
      <c r="D11" s="16" t="s">
        <v>62</v>
      </c>
      <c r="E11" s="17" t="s">
        <v>138</v>
      </c>
      <c r="F11" s="17">
        <v>9.980505837E9</v>
      </c>
      <c r="G11" s="17"/>
      <c r="H11" s="17"/>
      <c r="I11" s="17" t="s">
        <v>137</v>
      </c>
      <c r="J11" s="17" t="s">
        <v>77</v>
      </c>
      <c r="K11" s="16" t="s">
        <v>77</v>
      </c>
      <c r="L11" s="17">
        <v>4.0</v>
      </c>
      <c r="M11" s="16" t="s">
        <v>16</v>
      </c>
      <c r="N11" s="19">
        <v>4.0</v>
      </c>
      <c r="O11" s="17">
        <v>2000.0</v>
      </c>
      <c r="P11" s="16" t="s">
        <v>42</v>
      </c>
      <c r="Q11" s="18"/>
      <c r="R11" s="16" t="s">
        <v>15</v>
      </c>
      <c r="S11" s="14">
        <f t="shared" si="2"/>
        <v>46039</v>
      </c>
      <c r="T11" s="8"/>
      <c r="U11" s="8"/>
      <c r="V11" s="8"/>
      <c r="W11" s="8"/>
      <c r="X11" s="8"/>
      <c r="Y11" s="8"/>
      <c r="Z11" s="8"/>
    </row>
    <row r="12" ht="22.5" customHeight="1">
      <c r="A12" s="9" t="str">
        <f t="shared" si="1"/>
        <v>LEA-0011</v>
      </c>
      <c r="B12" s="15">
        <v>45957.0</v>
      </c>
      <c r="C12" s="16" t="s">
        <v>39</v>
      </c>
      <c r="D12" s="16" t="s">
        <v>62</v>
      </c>
      <c r="E12" s="17" t="s">
        <v>139</v>
      </c>
      <c r="F12" s="17">
        <v>8.549953806E9</v>
      </c>
      <c r="G12" s="17"/>
      <c r="H12" s="17"/>
      <c r="I12" s="17" t="s">
        <v>137</v>
      </c>
      <c r="J12" s="17" t="s">
        <v>77</v>
      </c>
      <c r="K12" s="16" t="s">
        <v>77</v>
      </c>
      <c r="L12" s="17">
        <v>16.0</v>
      </c>
      <c r="M12" s="16" t="s">
        <v>16</v>
      </c>
      <c r="N12" s="19">
        <v>20.0</v>
      </c>
      <c r="O12" s="17">
        <v>8000.0</v>
      </c>
      <c r="P12" s="16" t="s">
        <v>31</v>
      </c>
      <c r="Q12" s="18"/>
      <c r="R12" s="16" t="s">
        <v>15</v>
      </c>
      <c r="S12" s="14">
        <f t="shared" si="2"/>
        <v>46039</v>
      </c>
      <c r="T12" s="8"/>
      <c r="U12" s="8"/>
      <c r="V12" s="8"/>
      <c r="W12" s="8"/>
      <c r="X12" s="8"/>
      <c r="Y12" s="8"/>
      <c r="Z12" s="8"/>
    </row>
    <row r="13" ht="22.5" customHeight="1">
      <c r="A13" s="9" t="str">
        <f t="shared" si="1"/>
        <v>LEA-0012</v>
      </c>
      <c r="B13" s="15">
        <v>45972.0</v>
      </c>
      <c r="C13" s="16" t="s">
        <v>63</v>
      </c>
      <c r="D13" s="16" t="s">
        <v>55</v>
      </c>
      <c r="E13" s="17" t="s">
        <v>140</v>
      </c>
      <c r="F13" s="17">
        <v>7.760472319E9</v>
      </c>
      <c r="G13" s="17"/>
      <c r="H13" s="17"/>
      <c r="I13" s="17" t="s">
        <v>141</v>
      </c>
      <c r="J13" s="17" t="s">
        <v>142</v>
      </c>
      <c r="K13" s="16" t="s">
        <v>73</v>
      </c>
      <c r="L13" s="17">
        <v>20.0</v>
      </c>
      <c r="M13" s="16" t="s">
        <v>16</v>
      </c>
      <c r="N13" s="19">
        <v>10.0</v>
      </c>
      <c r="O13" s="17">
        <v>10000.0</v>
      </c>
      <c r="P13" s="16" t="s">
        <v>18</v>
      </c>
      <c r="Q13" s="18"/>
      <c r="R13" s="16" t="s">
        <v>15</v>
      </c>
      <c r="S13" s="14">
        <f t="shared" si="2"/>
        <v>46039</v>
      </c>
      <c r="T13" s="8"/>
      <c r="U13" s="8"/>
      <c r="V13" s="8"/>
      <c r="W13" s="8"/>
      <c r="X13" s="8"/>
      <c r="Y13" s="8"/>
      <c r="Z13" s="8"/>
    </row>
    <row r="14" ht="22.5" customHeight="1">
      <c r="A14" s="9" t="str">
        <f t="shared" si="1"/>
        <v>LEA-0013</v>
      </c>
      <c r="B14" s="15">
        <v>45972.0</v>
      </c>
      <c r="C14" s="16" t="s">
        <v>39</v>
      </c>
      <c r="D14" s="16" t="s">
        <v>62</v>
      </c>
      <c r="E14" s="17" t="s">
        <v>143</v>
      </c>
      <c r="F14" s="17">
        <v>9.743165075E9</v>
      </c>
      <c r="G14" s="17"/>
      <c r="H14" s="17"/>
      <c r="I14" s="17" t="s">
        <v>144</v>
      </c>
      <c r="J14" s="17" t="s">
        <v>145</v>
      </c>
      <c r="K14" s="16" t="s">
        <v>77</v>
      </c>
      <c r="L14" s="17">
        <v>2.1</v>
      </c>
      <c r="M14" s="16" t="s">
        <v>16</v>
      </c>
      <c r="N14" s="19">
        <v>20.0</v>
      </c>
      <c r="O14" s="17">
        <v>1300.0</v>
      </c>
      <c r="P14" s="16"/>
      <c r="Q14" s="18"/>
      <c r="R14" s="16" t="s">
        <v>15</v>
      </c>
      <c r="S14" s="14">
        <f t="shared" si="2"/>
        <v>46039</v>
      </c>
      <c r="T14" s="8"/>
      <c r="U14" s="8"/>
      <c r="V14" s="8"/>
      <c r="W14" s="8"/>
      <c r="X14" s="8"/>
      <c r="Y14" s="8"/>
      <c r="Z14" s="8"/>
    </row>
    <row r="15" ht="22.5" customHeight="1">
      <c r="A15" s="9" t="str">
        <f t="shared" si="1"/>
        <v>LEA-0014</v>
      </c>
      <c r="B15" s="15">
        <v>45972.0</v>
      </c>
      <c r="C15" s="16" t="s">
        <v>39</v>
      </c>
      <c r="D15" s="16" t="s">
        <v>62</v>
      </c>
      <c r="E15" s="17" t="s">
        <v>146</v>
      </c>
      <c r="F15" s="17">
        <v>7.760472319E9</v>
      </c>
      <c r="G15" s="17"/>
      <c r="H15" s="17"/>
      <c r="I15" s="17" t="s">
        <v>144</v>
      </c>
      <c r="J15" s="17" t="s">
        <v>145</v>
      </c>
      <c r="K15" s="16" t="s">
        <v>77</v>
      </c>
      <c r="L15" s="17">
        <v>2.0</v>
      </c>
      <c r="M15" s="16" t="s">
        <v>16</v>
      </c>
      <c r="N15" s="19">
        <v>6.0</v>
      </c>
      <c r="O15" s="17">
        <v>1200.0</v>
      </c>
      <c r="P15" s="16"/>
      <c r="Q15" s="18"/>
      <c r="R15" s="16" t="s">
        <v>15</v>
      </c>
      <c r="S15" s="14">
        <f t="shared" si="2"/>
        <v>46039</v>
      </c>
      <c r="T15" s="8"/>
      <c r="U15" s="8"/>
      <c r="V15" s="8"/>
      <c r="W15" s="8"/>
      <c r="X15" s="8"/>
      <c r="Y15" s="8"/>
      <c r="Z15" s="8"/>
    </row>
    <row r="16" ht="22.5" customHeight="1">
      <c r="A16" s="9" t="str">
        <f t="shared" si="1"/>
        <v>LEA-0015</v>
      </c>
      <c r="B16" s="15">
        <v>45972.0</v>
      </c>
      <c r="C16" s="16" t="s">
        <v>39</v>
      </c>
      <c r="D16" s="16" t="s">
        <v>62</v>
      </c>
      <c r="E16" s="17" t="s">
        <v>147</v>
      </c>
      <c r="F16" s="17">
        <v>9.980317624E9</v>
      </c>
      <c r="G16" s="17"/>
      <c r="H16" s="17"/>
      <c r="I16" s="17" t="s">
        <v>144</v>
      </c>
      <c r="J16" s="17" t="s">
        <v>145</v>
      </c>
      <c r="K16" s="16" t="s">
        <v>77</v>
      </c>
      <c r="L16" s="17">
        <v>5.6</v>
      </c>
      <c r="M16" s="16" t="s">
        <v>16</v>
      </c>
      <c r="N16" s="19">
        <v>10.0</v>
      </c>
      <c r="O16" s="17">
        <v>3400.0</v>
      </c>
      <c r="P16" s="16"/>
      <c r="Q16" s="18"/>
      <c r="R16" s="16" t="s">
        <v>15</v>
      </c>
      <c r="S16" s="14">
        <f t="shared" si="2"/>
        <v>46039</v>
      </c>
      <c r="T16" s="8"/>
      <c r="U16" s="8"/>
      <c r="V16" s="8"/>
      <c r="W16" s="8"/>
      <c r="X16" s="8"/>
      <c r="Y16" s="8"/>
      <c r="Z16" s="8"/>
    </row>
    <row r="17" ht="22.5" customHeight="1">
      <c r="A17" s="9" t="str">
        <f t="shared" si="1"/>
        <v>LEA-0016</v>
      </c>
      <c r="B17" s="15">
        <v>45972.0</v>
      </c>
      <c r="C17" s="16" t="s">
        <v>39</v>
      </c>
      <c r="D17" s="16" t="s">
        <v>62</v>
      </c>
      <c r="E17" s="17" t="s">
        <v>148</v>
      </c>
      <c r="F17" s="17">
        <v>9.980592441E9</v>
      </c>
      <c r="G17" s="17"/>
      <c r="H17" s="17"/>
      <c r="I17" s="17" t="s">
        <v>149</v>
      </c>
      <c r="J17" s="17" t="s">
        <v>145</v>
      </c>
      <c r="K17" s="16" t="s">
        <v>77</v>
      </c>
      <c r="L17" s="17">
        <v>1.0</v>
      </c>
      <c r="M17" s="16" t="s">
        <v>16</v>
      </c>
      <c r="N17" s="19">
        <v>2.0</v>
      </c>
      <c r="O17" s="17">
        <v>600.0</v>
      </c>
      <c r="P17" s="16"/>
      <c r="Q17" s="18"/>
      <c r="R17" s="16" t="s">
        <v>15</v>
      </c>
      <c r="S17" s="14">
        <f t="shared" si="2"/>
        <v>46039</v>
      </c>
      <c r="T17" s="8"/>
      <c r="U17" s="8"/>
      <c r="V17" s="8"/>
      <c r="W17" s="8"/>
      <c r="X17" s="8"/>
      <c r="Y17" s="8"/>
      <c r="Z17" s="8"/>
    </row>
    <row r="18" ht="22.5" customHeight="1">
      <c r="A18" s="9" t="str">
        <f t="shared" si="1"/>
        <v>LEA-0017</v>
      </c>
      <c r="B18" s="15">
        <v>45972.0</v>
      </c>
      <c r="C18" s="16" t="s">
        <v>39</v>
      </c>
      <c r="D18" s="16" t="s">
        <v>62</v>
      </c>
      <c r="E18" s="17" t="s">
        <v>150</v>
      </c>
      <c r="F18" s="17">
        <v>8.660863701E9</v>
      </c>
      <c r="G18" s="17"/>
      <c r="H18" s="17"/>
      <c r="I18" s="17" t="s">
        <v>151</v>
      </c>
      <c r="J18" s="17" t="s">
        <v>152</v>
      </c>
      <c r="K18" s="16" t="s">
        <v>77</v>
      </c>
      <c r="L18" s="17">
        <v>5.0</v>
      </c>
      <c r="M18" s="16" t="s">
        <v>16</v>
      </c>
      <c r="N18" s="19">
        <v>18.0</v>
      </c>
      <c r="O18" s="17">
        <v>3000.0</v>
      </c>
      <c r="P18" s="16"/>
      <c r="Q18" s="18"/>
      <c r="R18" s="16" t="s">
        <v>15</v>
      </c>
      <c r="S18" s="14">
        <f t="shared" si="2"/>
        <v>46039</v>
      </c>
      <c r="T18" s="8"/>
      <c r="U18" s="8"/>
      <c r="V18" s="8"/>
      <c r="W18" s="8"/>
      <c r="X18" s="8"/>
      <c r="Y18" s="8"/>
      <c r="Z18" s="8"/>
    </row>
    <row r="19" ht="22.5" customHeight="1">
      <c r="A19" s="9" t="str">
        <f t="shared" si="1"/>
        <v>LEA-0018</v>
      </c>
      <c r="B19" s="15">
        <v>45973.0</v>
      </c>
      <c r="C19" s="16" t="s">
        <v>63</v>
      </c>
      <c r="D19" s="16" t="s">
        <v>38</v>
      </c>
      <c r="E19" s="17" t="s">
        <v>153</v>
      </c>
      <c r="F19" s="17">
        <v>9.448202287E9</v>
      </c>
      <c r="G19" s="17"/>
      <c r="H19" s="17"/>
      <c r="I19" s="17" t="s">
        <v>154</v>
      </c>
      <c r="J19" s="17" t="s">
        <v>155</v>
      </c>
      <c r="K19" s="16" t="s">
        <v>79</v>
      </c>
      <c r="L19" s="17">
        <v>8.0</v>
      </c>
      <c r="M19" s="16" t="s">
        <v>16</v>
      </c>
      <c r="N19" s="19">
        <v>15.0</v>
      </c>
      <c r="O19" s="17">
        <v>3000.0</v>
      </c>
      <c r="P19" s="16" t="s">
        <v>18</v>
      </c>
      <c r="Q19" s="18"/>
      <c r="R19" s="16" t="s">
        <v>15</v>
      </c>
      <c r="S19" s="14">
        <f t="shared" si="2"/>
        <v>46039</v>
      </c>
      <c r="T19" s="8"/>
      <c r="U19" s="8"/>
      <c r="V19" s="8"/>
      <c r="W19" s="8"/>
      <c r="X19" s="8"/>
      <c r="Y19" s="8"/>
      <c r="Z19" s="8"/>
    </row>
    <row r="20" ht="22.5" customHeight="1">
      <c r="A20" s="9" t="str">
        <f t="shared" si="1"/>
        <v>LEA-0019</v>
      </c>
      <c r="B20" s="15">
        <v>45978.0</v>
      </c>
      <c r="C20" s="16" t="s">
        <v>25</v>
      </c>
      <c r="D20" s="16" t="s">
        <v>47</v>
      </c>
      <c r="E20" s="17" t="s">
        <v>156</v>
      </c>
      <c r="F20" s="17">
        <v>7.019466482E9</v>
      </c>
      <c r="G20" s="17"/>
      <c r="H20" s="17">
        <v>9.449623265E9</v>
      </c>
      <c r="I20" s="17" t="s">
        <v>157</v>
      </c>
      <c r="J20" s="17" t="s">
        <v>152</v>
      </c>
      <c r="K20" s="16" t="s">
        <v>77</v>
      </c>
      <c r="L20" s="17">
        <v>6.0</v>
      </c>
      <c r="M20" s="16" t="s">
        <v>16</v>
      </c>
      <c r="N20" s="19">
        <v>25.0</v>
      </c>
      <c r="O20" s="17">
        <v>3000.0</v>
      </c>
      <c r="P20" s="16" t="s">
        <v>31</v>
      </c>
      <c r="Q20" s="18"/>
      <c r="R20" s="16" t="s">
        <v>15</v>
      </c>
      <c r="S20" s="14">
        <f t="shared" si="2"/>
        <v>46039</v>
      </c>
      <c r="T20" s="8"/>
      <c r="U20" s="8"/>
      <c r="V20" s="8"/>
      <c r="W20" s="8"/>
      <c r="X20" s="8"/>
      <c r="Y20" s="8"/>
      <c r="Z20" s="8"/>
    </row>
    <row r="21" ht="22.5" customHeight="1">
      <c r="A21" s="9" t="str">
        <f t="shared" si="1"/>
        <v>LEA-0020</v>
      </c>
      <c r="B21" s="15">
        <v>45978.0</v>
      </c>
      <c r="C21" s="16" t="s">
        <v>25</v>
      </c>
      <c r="D21" s="16" t="s">
        <v>47</v>
      </c>
      <c r="E21" s="17" t="s">
        <v>158</v>
      </c>
      <c r="F21" s="17">
        <v>9.481950215E9</v>
      </c>
      <c r="G21" s="17"/>
      <c r="H21" s="17">
        <v>7.760675722E9</v>
      </c>
      <c r="I21" s="17" t="s">
        <v>159</v>
      </c>
      <c r="J21" s="17" t="s">
        <v>152</v>
      </c>
      <c r="K21" s="16" t="s">
        <v>77</v>
      </c>
      <c r="L21" s="17">
        <v>2.0</v>
      </c>
      <c r="M21" s="16" t="s">
        <v>16</v>
      </c>
      <c r="N21" s="19">
        <v>25.0</v>
      </c>
      <c r="O21" s="17">
        <v>1200.0</v>
      </c>
      <c r="P21" s="16" t="s">
        <v>31</v>
      </c>
      <c r="Q21" s="18"/>
      <c r="R21" s="16" t="s">
        <v>15</v>
      </c>
      <c r="S21" s="14">
        <f t="shared" si="2"/>
        <v>46039</v>
      </c>
      <c r="T21" s="8"/>
      <c r="U21" s="8"/>
      <c r="V21" s="8"/>
      <c r="W21" s="8"/>
      <c r="X21" s="8"/>
      <c r="Y21" s="8"/>
      <c r="Z21" s="8"/>
    </row>
    <row r="22" ht="22.5" customHeight="1">
      <c r="A22" s="9" t="str">
        <f t="shared" si="1"/>
        <v>LEA-0021</v>
      </c>
      <c r="B22" s="15">
        <v>45978.0</v>
      </c>
      <c r="C22" s="16" t="s">
        <v>25</v>
      </c>
      <c r="D22" s="16" t="s">
        <v>47</v>
      </c>
      <c r="E22" s="17" t="s">
        <v>160</v>
      </c>
      <c r="F22" s="17">
        <v>9.480354283E9</v>
      </c>
      <c r="G22" s="17"/>
      <c r="H22" s="17"/>
      <c r="I22" s="17" t="s">
        <v>161</v>
      </c>
      <c r="J22" s="17" t="s">
        <v>152</v>
      </c>
      <c r="K22" s="16" t="s">
        <v>77</v>
      </c>
      <c r="L22" s="17">
        <v>1.0</v>
      </c>
      <c r="M22" s="16" t="s">
        <v>16</v>
      </c>
      <c r="N22" s="19">
        <v>25.0</v>
      </c>
      <c r="O22" s="17">
        <v>400.0</v>
      </c>
      <c r="P22" s="16" t="s">
        <v>31</v>
      </c>
      <c r="Q22" s="18"/>
      <c r="R22" s="16" t="s">
        <v>15</v>
      </c>
      <c r="S22" s="14">
        <f t="shared" si="2"/>
        <v>46039</v>
      </c>
      <c r="T22" s="8"/>
      <c r="U22" s="8"/>
      <c r="V22" s="8"/>
      <c r="W22" s="8"/>
      <c r="X22" s="8"/>
      <c r="Y22" s="8"/>
      <c r="Z22" s="8"/>
    </row>
    <row r="23" ht="22.5" customHeight="1">
      <c r="A23" s="9" t="str">
        <f t="shared" si="1"/>
        <v>LEA-0022</v>
      </c>
      <c r="B23" s="15">
        <v>45978.0</v>
      </c>
      <c r="C23" s="16" t="s">
        <v>25</v>
      </c>
      <c r="D23" s="16" t="s">
        <v>47</v>
      </c>
      <c r="E23" s="17" t="s">
        <v>162</v>
      </c>
      <c r="F23" s="17">
        <v>9.480505938E9</v>
      </c>
      <c r="G23" s="17"/>
      <c r="H23" s="17"/>
      <c r="I23" s="17" t="s">
        <v>163</v>
      </c>
      <c r="J23" s="17" t="s">
        <v>152</v>
      </c>
      <c r="K23" s="16" t="s">
        <v>77</v>
      </c>
      <c r="L23" s="17">
        <v>1.0</v>
      </c>
      <c r="M23" s="16" t="s">
        <v>16</v>
      </c>
      <c r="N23" s="19">
        <v>10.0</v>
      </c>
      <c r="O23" s="17">
        <v>400.0</v>
      </c>
      <c r="P23" s="16" t="s">
        <v>31</v>
      </c>
      <c r="Q23" s="18"/>
      <c r="R23" s="16" t="s">
        <v>15</v>
      </c>
      <c r="S23" s="14">
        <f t="shared" si="2"/>
        <v>46039</v>
      </c>
      <c r="T23" s="8"/>
      <c r="U23" s="8"/>
      <c r="V23" s="8"/>
      <c r="W23" s="8"/>
      <c r="X23" s="8"/>
      <c r="Y23" s="8"/>
      <c r="Z23" s="8"/>
    </row>
    <row r="24" ht="22.5" customHeight="1">
      <c r="A24" s="9" t="str">
        <f t="shared" si="1"/>
        <v>LEA-0023</v>
      </c>
      <c r="B24" s="15">
        <v>45978.0</v>
      </c>
      <c r="C24" s="16" t="s">
        <v>25</v>
      </c>
      <c r="D24" s="16" t="s">
        <v>47</v>
      </c>
      <c r="E24" s="17" t="s">
        <v>164</v>
      </c>
      <c r="F24" s="17">
        <v>7.899154604E9</v>
      </c>
      <c r="G24" s="17"/>
      <c r="H24" s="17">
        <v>9.482403665E9</v>
      </c>
      <c r="I24" s="17" t="s">
        <v>165</v>
      </c>
      <c r="J24" s="17" t="s">
        <v>152</v>
      </c>
      <c r="K24" s="16" t="s">
        <v>77</v>
      </c>
      <c r="L24" s="17">
        <v>1.0</v>
      </c>
      <c r="M24" s="16" t="s">
        <v>16</v>
      </c>
      <c r="N24" s="19">
        <v>20.0</v>
      </c>
      <c r="O24" s="17">
        <v>400.0</v>
      </c>
      <c r="P24" s="16" t="s">
        <v>31</v>
      </c>
      <c r="Q24" s="18"/>
      <c r="R24" s="16" t="s">
        <v>15</v>
      </c>
      <c r="S24" s="14">
        <f t="shared" si="2"/>
        <v>46039</v>
      </c>
      <c r="T24" s="8"/>
      <c r="U24" s="8"/>
      <c r="V24" s="8"/>
      <c r="W24" s="8"/>
      <c r="X24" s="8"/>
      <c r="Y24" s="8"/>
      <c r="Z24" s="8"/>
    </row>
    <row r="25" ht="22.5" customHeight="1">
      <c r="A25" s="9" t="str">
        <f t="shared" si="1"/>
        <v>LEA-0024</v>
      </c>
      <c r="B25" s="20">
        <v>45978.0</v>
      </c>
      <c r="C25" s="16" t="s">
        <v>25</v>
      </c>
      <c r="D25" s="16" t="s">
        <v>47</v>
      </c>
      <c r="E25" s="17" t="s">
        <v>166</v>
      </c>
      <c r="F25" s="17">
        <v>9.449390925E9</v>
      </c>
      <c r="G25" s="17"/>
      <c r="H25" s="17"/>
      <c r="I25" s="17" t="s">
        <v>119</v>
      </c>
      <c r="J25" s="17" t="s">
        <v>152</v>
      </c>
      <c r="K25" s="16" t="s">
        <v>77</v>
      </c>
      <c r="L25" s="17">
        <v>8.0</v>
      </c>
      <c r="M25" s="16" t="s">
        <v>16</v>
      </c>
      <c r="N25" s="19">
        <v>25.0</v>
      </c>
      <c r="O25" s="17">
        <v>4000.0</v>
      </c>
      <c r="P25" s="16" t="s">
        <v>31</v>
      </c>
      <c r="Q25" s="18"/>
      <c r="R25" s="16" t="s">
        <v>15</v>
      </c>
      <c r="S25" s="14">
        <f t="shared" si="2"/>
        <v>46039</v>
      </c>
      <c r="T25" s="8"/>
      <c r="U25" s="8"/>
      <c r="V25" s="8"/>
      <c r="W25" s="8"/>
      <c r="X25" s="8"/>
      <c r="Y25" s="8"/>
      <c r="Z25" s="8"/>
    </row>
    <row r="26" ht="22.5" customHeight="1">
      <c r="A26" s="9" t="str">
        <f t="shared" si="1"/>
        <v>LEA-0025</v>
      </c>
      <c r="B26" s="20">
        <v>45980.0</v>
      </c>
      <c r="C26" s="16" t="s">
        <v>39</v>
      </c>
      <c r="D26" s="16" t="s">
        <v>62</v>
      </c>
      <c r="E26" s="17" t="s">
        <v>167</v>
      </c>
      <c r="F26" s="17">
        <v>7.975242855E9</v>
      </c>
      <c r="G26" s="17"/>
      <c r="H26" s="17"/>
      <c r="I26" s="17" t="s">
        <v>168</v>
      </c>
      <c r="J26" s="17" t="s">
        <v>169</v>
      </c>
      <c r="K26" s="16" t="s">
        <v>77</v>
      </c>
      <c r="L26" s="17">
        <v>1.8</v>
      </c>
      <c r="M26" s="16" t="s">
        <v>16</v>
      </c>
      <c r="N26" s="19">
        <v>18.0</v>
      </c>
      <c r="O26" s="17">
        <v>1080.0</v>
      </c>
      <c r="P26" s="16"/>
      <c r="Q26" s="18"/>
      <c r="R26" s="16" t="s">
        <v>15</v>
      </c>
      <c r="S26" s="14">
        <f t="shared" si="2"/>
        <v>46039</v>
      </c>
      <c r="T26" s="8"/>
      <c r="U26" s="8"/>
      <c r="V26" s="8"/>
      <c r="W26" s="8"/>
      <c r="X26" s="8"/>
      <c r="Y26" s="8"/>
      <c r="Z26" s="8"/>
    </row>
    <row r="27" ht="22.5" customHeight="1">
      <c r="A27" s="9" t="str">
        <f t="shared" si="1"/>
        <v>LEA-0026</v>
      </c>
      <c r="B27" s="20">
        <v>45980.0</v>
      </c>
      <c r="C27" s="16" t="s">
        <v>39</v>
      </c>
      <c r="D27" s="16" t="s">
        <v>62</v>
      </c>
      <c r="E27" s="17" t="s">
        <v>170</v>
      </c>
      <c r="F27" s="17">
        <v>9.986771949E9</v>
      </c>
      <c r="G27" s="17"/>
      <c r="H27" s="17"/>
      <c r="I27" s="17" t="s">
        <v>171</v>
      </c>
      <c r="J27" s="17" t="s">
        <v>169</v>
      </c>
      <c r="K27" s="16" t="s">
        <v>77</v>
      </c>
      <c r="L27" s="17">
        <v>3.0</v>
      </c>
      <c r="M27" s="16" t="s">
        <v>16</v>
      </c>
      <c r="N27" s="19">
        <v>18.0</v>
      </c>
      <c r="O27" s="17">
        <v>1800.0</v>
      </c>
      <c r="P27" s="16"/>
      <c r="Q27" s="18"/>
      <c r="R27" s="16" t="s">
        <v>15</v>
      </c>
      <c r="S27" s="14">
        <f t="shared" si="2"/>
        <v>46039</v>
      </c>
      <c r="T27" s="8"/>
      <c r="U27" s="8"/>
      <c r="V27" s="8"/>
      <c r="W27" s="8"/>
      <c r="X27" s="8"/>
      <c r="Y27" s="8"/>
      <c r="Z27" s="8"/>
    </row>
    <row r="28" ht="22.5" customHeight="1">
      <c r="A28" s="9" t="str">
        <f t="shared" si="1"/>
        <v>LEA-0027</v>
      </c>
      <c r="B28" s="20">
        <v>45980.0</v>
      </c>
      <c r="C28" s="16" t="s">
        <v>39</v>
      </c>
      <c r="D28" s="16" t="s">
        <v>62</v>
      </c>
      <c r="E28" s="17" t="s">
        <v>172</v>
      </c>
      <c r="F28" s="17">
        <v>8.792444217E9</v>
      </c>
      <c r="G28" s="17"/>
      <c r="H28" s="17"/>
      <c r="I28" s="17" t="s">
        <v>168</v>
      </c>
      <c r="J28" s="17" t="s">
        <v>169</v>
      </c>
      <c r="K28" s="16" t="s">
        <v>77</v>
      </c>
      <c r="L28" s="17">
        <v>0.75</v>
      </c>
      <c r="M28" s="16" t="s">
        <v>16</v>
      </c>
      <c r="N28" s="19">
        <v>6.0</v>
      </c>
      <c r="O28" s="17">
        <v>450.0</v>
      </c>
      <c r="P28" s="16"/>
      <c r="Q28" s="18"/>
      <c r="R28" s="16" t="s">
        <v>15</v>
      </c>
      <c r="S28" s="14">
        <f t="shared" si="2"/>
        <v>46039</v>
      </c>
      <c r="T28" s="8"/>
      <c r="U28" s="8"/>
      <c r="V28" s="8"/>
      <c r="W28" s="8"/>
      <c r="X28" s="8"/>
      <c r="Y28" s="8"/>
      <c r="Z28" s="8"/>
    </row>
    <row r="29" ht="22.5" customHeight="1">
      <c r="A29" s="9" t="str">
        <f t="shared" si="1"/>
        <v>LEA-0028</v>
      </c>
      <c r="B29" s="20">
        <v>45980.0</v>
      </c>
      <c r="C29" s="16" t="s">
        <v>39</v>
      </c>
      <c r="D29" s="16" t="s">
        <v>62</v>
      </c>
      <c r="E29" s="17" t="s">
        <v>173</v>
      </c>
      <c r="F29" s="17">
        <v>9.986457008E9</v>
      </c>
      <c r="G29" s="17"/>
      <c r="H29" s="17"/>
      <c r="I29" s="17" t="s">
        <v>174</v>
      </c>
      <c r="J29" s="17" t="s">
        <v>169</v>
      </c>
      <c r="K29" s="16" t="s">
        <v>77</v>
      </c>
      <c r="L29" s="17">
        <v>8.3</v>
      </c>
      <c r="M29" s="16" t="s">
        <v>16</v>
      </c>
      <c r="N29" s="19">
        <v>15.0</v>
      </c>
      <c r="O29" s="17">
        <v>5000.0</v>
      </c>
      <c r="P29" s="16"/>
      <c r="Q29" s="18"/>
      <c r="R29" s="16" t="s">
        <v>15</v>
      </c>
      <c r="S29" s="14">
        <f t="shared" si="2"/>
        <v>46039</v>
      </c>
      <c r="T29" s="8"/>
      <c r="U29" s="8"/>
      <c r="V29" s="8"/>
      <c r="W29" s="8"/>
      <c r="X29" s="8"/>
      <c r="Y29" s="8"/>
      <c r="Z29" s="8"/>
    </row>
    <row r="30" ht="22.5" customHeight="1">
      <c r="A30" s="9" t="str">
        <f t="shared" si="1"/>
        <v>LEA-0029</v>
      </c>
      <c r="B30" s="20">
        <v>45980.0</v>
      </c>
      <c r="C30" s="16" t="s">
        <v>39</v>
      </c>
      <c r="D30" s="16" t="s">
        <v>62</v>
      </c>
      <c r="E30" s="17" t="s">
        <v>175</v>
      </c>
      <c r="F30" s="17">
        <v>7.996709365E9</v>
      </c>
      <c r="G30" s="17"/>
      <c r="H30" s="17"/>
      <c r="I30" s="17" t="s">
        <v>171</v>
      </c>
      <c r="J30" s="17" t="s">
        <v>169</v>
      </c>
      <c r="K30" s="16" t="s">
        <v>77</v>
      </c>
      <c r="L30" s="17">
        <v>2.0</v>
      </c>
      <c r="M30" s="16" t="s">
        <v>16</v>
      </c>
      <c r="N30" s="19">
        <v>13.0</v>
      </c>
      <c r="O30" s="17">
        <v>1200.0</v>
      </c>
      <c r="P30" s="16"/>
      <c r="Q30" s="18"/>
      <c r="R30" s="16" t="s">
        <v>15</v>
      </c>
      <c r="S30" s="14">
        <f t="shared" si="2"/>
        <v>46039</v>
      </c>
      <c r="T30" s="8"/>
      <c r="U30" s="8"/>
      <c r="V30" s="8"/>
      <c r="W30" s="8"/>
      <c r="X30" s="8"/>
      <c r="Y30" s="8"/>
      <c r="Z30" s="8"/>
    </row>
    <row r="31" ht="22.5" customHeight="1">
      <c r="A31" s="9" t="str">
        <f t="shared" si="1"/>
        <v>LEA-0030</v>
      </c>
      <c r="B31" s="20">
        <v>45980.0</v>
      </c>
      <c r="C31" s="16" t="s">
        <v>39</v>
      </c>
      <c r="D31" s="16" t="s">
        <v>62</v>
      </c>
      <c r="E31" s="17" t="s">
        <v>176</v>
      </c>
      <c r="F31" s="17">
        <v>8.139986425E9</v>
      </c>
      <c r="G31" s="17"/>
      <c r="H31" s="17"/>
      <c r="I31" s="17" t="s">
        <v>171</v>
      </c>
      <c r="J31" s="17" t="s">
        <v>169</v>
      </c>
      <c r="K31" s="16" t="s">
        <v>77</v>
      </c>
      <c r="L31" s="17">
        <v>2.0</v>
      </c>
      <c r="M31" s="16" t="s">
        <v>16</v>
      </c>
      <c r="N31" s="19">
        <v>13.0</v>
      </c>
      <c r="O31" s="17">
        <v>1200.0</v>
      </c>
      <c r="P31" s="21"/>
      <c r="Q31" s="18"/>
      <c r="R31" s="16" t="s">
        <v>15</v>
      </c>
      <c r="S31" s="14">
        <f t="shared" si="2"/>
        <v>46039</v>
      </c>
      <c r="T31" s="8"/>
      <c r="U31" s="8"/>
      <c r="V31" s="8"/>
      <c r="W31" s="8"/>
      <c r="X31" s="8"/>
      <c r="Y31" s="8"/>
      <c r="Z31" s="8"/>
    </row>
    <row r="32" ht="22.5" customHeight="1">
      <c r="A32" s="9" t="str">
        <f t="shared" si="1"/>
        <v>LEA-0031</v>
      </c>
      <c r="B32" s="20">
        <v>45980.0</v>
      </c>
      <c r="C32" s="16" t="s">
        <v>39</v>
      </c>
      <c r="D32" s="16" t="s">
        <v>62</v>
      </c>
      <c r="E32" s="17" t="s">
        <v>177</v>
      </c>
      <c r="F32" s="17">
        <v>9.986904545E9</v>
      </c>
      <c r="G32" s="17"/>
      <c r="H32" s="17"/>
      <c r="I32" s="17" t="s">
        <v>171</v>
      </c>
      <c r="J32" s="17" t="s">
        <v>169</v>
      </c>
      <c r="K32" s="16" t="s">
        <v>77</v>
      </c>
      <c r="L32" s="17">
        <v>2.0</v>
      </c>
      <c r="M32" s="16" t="s">
        <v>16</v>
      </c>
      <c r="N32" s="19">
        <v>3.0</v>
      </c>
      <c r="O32" s="17">
        <v>1200.0</v>
      </c>
      <c r="P32" s="21"/>
      <c r="Q32" s="18"/>
      <c r="R32" s="16" t="s">
        <v>15</v>
      </c>
      <c r="S32" s="14">
        <f t="shared" si="2"/>
        <v>46039</v>
      </c>
      <c r="T32" s="8"/>
      <c r="U32" s="8"/>
      <c r="V32" s="8"/>
      <c r="W32" s="8"/>
      <c r="X32" s="8"/>
      <c r="Y32" s="8"/>
      <c r="Z32" s="8"/>
    </row>
    <row r="33" ht="22.5" customHeight="1">
      <c r="A33" s="9" t="str">
        <f t="shared" si="1"/>
        <v>LEA-0032</v>
      </c>
      <c r="B33" s="20">
        <v>45980.0</v>
      </c>
      <c r="C33" s="16" t="s">
        <v>39</v>
      </c>
      <c r="D33" s="16" t="s">
        <v>62</v>
      </c>
      <c r="E33" s="17" t="s">
        <v>178</v>
      </c>
      <c r="F33" s="17">
        <v>9.945814519E9</v>
      </c>
      <c r="G33" s="17"/>
      <c r="H33" s="17"/>
      <c r="I33" s="17" t="s">
        <v>171</v>
      </c>
      <c r="J33" s="17" t="s">
        <v>169</v>
      </c>
      <c r="K33" s="16" t="s">
        <v>77</v>
      </c>
      <c r="L33" s="17">
        <v>4.16</v>
      </c>
      <c r="M33" s="16" t="s">
        <v>16</v>
      </c>
      <c r="N33" s="19">
        <v>25.0</v>
      </c>
      <c r="O33" s="17">
        <v>2500.0</v>
      </c>
      <c r="P33" s="21"/>
      <c r="Q33" s="18"/>
      <c r="R33" s="16" t="s">
        <v>15</v>
      </c>
      <c r="S33" s="14">
        <f t="shared" si="2"/>
        <v>46039</v>
      </c>
      <c r="T33" s="8"/>
      <c r="U33" s="8"/>
      <c r="V33" s="8"/>
      <c r="W33" s="8"/>
      <c r="X33" s="8"/>
      <c r="Y33" s="8"/>
      <c r="Z33" s="8"/>
    </row>
    <row r="34" ht="22.5" customHeight="1">
      <c r="A34" s="9" t="str">
        <f t="shared" si="1"/>
        <v>LEA-0033</v>
      </c>
      <c r="B34" s="20">
        <v>45980.0</v>
      </c>
      <c r="C34" s="16" t="s">
        <v>39</v>
      </c>
      <c r="D34" s="16" t="s">
        <v>62</v>
      </c>
      <c r="E34" s="17" t="s">
        <v>179</v>
      </c>
      <c r="F34" s="17">
        <v>9.739248845E9</v>
      </c>
      <c r="G34" s="17"/>
      <c r="H34" s="17"/>
      <c r="I34" s="17" t="s">
        <v>171</v>
      </c>
      <c r="J34" s="17" t="s">
        <v>169</v>
      </c>
      <c r="K34" s="16" t="s">
        <v>77</v>
      </c>
      <c r="L34" s="17">
        <v>3.0</v>
      </c>
      <c r="M34" s="16" t="s">
        <v>16</v>
      </c>
      <c r="N34" s="19" t="s">
        <v>180</v>
      </c>
      <c r="O34" s="17">
        <v>1800.0</v>
      </c>
      <c r="P34" s="21"/>
      <c r="Q34" s="18"/>
      <c r="R34" s="16" t="s">
        <v>15</v>
      </c>
      <c r="S34" s="14">
        <f t="shared" si="2"/>
        <v>46039</v>
      </c>
      <c r="T34" s="8"/>
      <c r="U34" s="8"/>
      <c r="V34" s="8"/>
      <c r="W34" s="8"/>
      <c r="X34" s="8"/>
      <c r="Y34" s="8"/>
      <c r="Z34" s="8"/>
    </row>
    <row r="35" ht="22.5" customHeight="1">
      <c r="A35" s="9" t="str">
        <f t="shared" si="1"/>
        <v>LEA-0034</v>
      </c>
      <c r="B35" s="20">
        <v>45980.0</v>
      </c>
      <c r="C35" s="16" t="s">
        <v>39</v>
      </c>
      <c r="D35" s="16" t="s">
        <v>62</v>
      </c>
      <c r="E35" s="17" t="s">
        <v>181</v>
      </c>
      <c r="F35" s="17">
        <v>8.84382218E8</v>
      </c>
      <c r="G35" s="17"/>
      <c r="H35" s="17"/>
      <c r="I35" s="17" t="s">
        <v>168</v>
      </c>
      <c r="J35" s="17" t="s">
        <v>169</v>
      </c>
      <c r="K35" s="16" t="s">
        <v>77</v>
      </c>
      <c r="L35" s="17">
        <v>2.1</v>
      </c>
      <c r="M35" s="16" t="s">
        <v>16</v>
      </c>
      <c r="N35" s="19">
        <v>14.0</v>
      </c>
      <c r="O35" s="17">
        <v>1260.0</v>
      </c>
      <c r="P35" s="21"/>
      <c r="Q35" s="18"/>
      <c r="R35" s="16" t="s">
        <v>15</v>
      </c>
      <c r="S35" s="14">
        <f t="shared" si="2"/>
        <v>46039</v>
      </c>
      <c r="T35" s="8"/>
      <c r="U35" s="8"/>
      <c r="V35" s="8"/>
      <c r="W35" s="8"/>
      <c r="X35" s="8"/>
      <c r="Y35" s="8"/>
      <c r="Z35" s="8"/>
    </row>
    <row r="36" ht="22.5" customHeight="1">
      <c r="A36" s="9" t="str">
        <f t="shared" si="1"/>
        <v>LEA-0035</v>
      </c>
      <c r="B36" s="20">
        <v>45981.0</v>
      </c>
      <c r="C36" s="16" t="s">
        <v>39</v>
      </c>
      <c r="D36" s="16" t="s">
        <v>62</v>
      </c>
      <c r="E36" s="17" t="s">
        <v>182</v>
      </c>
      <c r="F36" s="17">
        <v>9.986327688E9</v>
      </c>
      <c r="G36" s="17"/>
      <c r="H36" s="17"/>
      <c r="I36" s="17" t="s">
        <v>183</v>
      </c>
      <c r="J36" s="17" t="s">
        <v>145</v>
      </c>
      <c r="K36" s="16" t="s">
        <v>77</v>
      </c>
      <c r="L36" s="17">
        <v>3.0</v>
      </c>
      <c r="M36" s="16" t="s">
        <v>16</v>
      </c>
      <c r="N36" s="19">
        <v>9.0</v>
      </c>
      <c r="O36" s="17">
        <v>1800.0</v>
      </c>
      <c r="P36" s="21"/>
      <c r="Q36" s="18"/>
      <c r="R36" s="16" t="s">
        <v>15</v>
      </c>
      <c r="S36" s="14">
        <f t="shared" si="2"/>
        <v>46039</v>
      </c>
      <c r="T36" s="8"/>
      <c r="U36" s="8"/>
      <c r="V36" s="8"/>
      <c r="W36" s="8"/>
      <c r="X36" s="8"/>
      <c r="Y36" s="8"/>
      <c r="Z36" s="8"/>
    </row>
    <row r="37" ht="22.5" customHeight="1">
      <c r="A37" s="9" t="str">
        <f t="shared" si="1"/>
        <v>LEA-0036</v>
      </c>
      <c r="B37" s="20">
        <v>45981.0</v>
      </c>
      <c r="C37" s="16" t="s">
        <v>39</v>
      </c>
      <c r="D37" s="16" t="s">
        <v>62</v>
      </c>
      <c r="E37" s="17" t="s">
        <v>184</v>
      </c>
      <c r="F37" s="17">
        <v>9.980517484E9</v>
      </c>
      <c r="G37" s="17"/>
      <c r="H37" s="17"/>
      <c r="I37" s="17" t="s">
        <v>183</v>
      </c>
      <c r="J37" s="17" t="s">
        <v>145</v>
      </c>
      <c r="K37" s="16" t="s">
        <v>77</v>
      </c>
      <c r="L37" s="17">
        <v>1.0</v>
      </c>
      <c r="M37" s="16" t="s">
        <v>16</v>
      </c>
      <c r="N37" s="19">
        <v>9.0</v>
      </c>
      <c r="O37" s="17">
        <v>600.0</v>
      </c>
      <c r="P37" s="21"/>
      <c r="Q37" s="18"/>
      <c r="R37" s="16" t="s">
        <v>15</v>
      </c>
      <c r="S37" s="14">
        <f t="shared" si="2"/>
        <v>46039</v>
      </c>
      <c r="T37" s="8"/>
      <c r="U37" s="8"/>
      <c r="V37" s="8"/>
      <c r="W37" s="8"/>
      <c r="X37" s="8"/>
      <c r="Y37" s="8"/>
      <c r="Z37" s="8"/>
    </row>
    <row r="38" ht="22.5" customHeight="1">
      <c r="A38" s="9" t="str">
        <f t="shared" si="1"/>
        <v>LEA-0037</v>
      </c>
      <c r="B38" s="20">
        <v>45981.0</v>
      </c>
      <c r="C38" s="16" t="s">
        <v>39</v>
      </c>
      <c r="D38" s="16" t="s">
        <v>62</v>
      </c>
      <c r="E38" s="17" t="s">
        <v>185</v>
      </c>
      <c r="F38" s="17">
        <v>9.916635481E9</v>
      </c>
      <c r="G38" s="17"/>
      <c r="H38" s="17"/>
      <c r="I38" s="17" t="s">
        <v>183</v>
      </c>
      <c r="J38" s="17" t="s">
        <v>145</v>
      </c>
      <c r="K38" s="16" t="s">
        <v>77</v>
      </c>
      <c r="L38" s="17">
        <v>1.5</v>
      </c>
      <c r="M38" s="16" t="s">
        <v>16</v>
      </c>
      <c r="N38" s="19">
        <v>20.0</v>
      </c>
      <c r="O38" s="17">
        <v>900.0</v>
      </c>
      <c r="P38" s="21"/>
      <c r="Q38" s="18"/>
      <c r="R38" s="16" t="s">
        <v>15</v>
      </c>
      <c r="S38" s="14">
        <f t="shared" si="2"/>
        <v>46039</v>
      </c>
      <c r="T38" s="8"/>
      <c r="U38" s="8"/>
      <c r="V38" s="8"/>
      <c r="W38" s="8"/>
      <c r="X38" s="8"/>
      <c r="Y38" s="8"/>
      <c r="Z38" s="8"/>
    </row>
    <row r="39" ht="22.5" customHeight="1">
      <c r="A39" s="9" t="str">
        <f t="shared" si="1"/>
        <v>LEA-0038</v>
      </c>
      <c r="B39" s="20">
        <v>45981.0</v>
      </c>
      <c r="C39" s="16" t="s">
        <v>39</v>
      </c>
      <c r="D39" s="16" t="s">
        <v>62</v>
      </c>
      <c r="E39" s="17" t="s">
        <v>186</v>
      </c>
      <c r="F39" s="17">
        <v>9.449103983E9</v>
      </c>
      <c r="G39" s="17"/>
      <c r="H39" s="17"/>
      <c r="I39" s="17" t="s">
        <v>183</v>
      </c>
      <c r="J39" s="17" t="s">
        <v>145</v>
      </c>
      <c r="K39" s="16" t="s">
        <v>77</v>
      </c>
      <c r="L39" s="17">
        <v>1.0</v>
      </c>
      <c r="M39" s="16" t="s">
        <v>16</v>
      </c>
      <c r="N39" s="19">
        <v>15.0</v>
      </c>
      <c r="O39" s="17">
        <v>600.0</v>
      </c>
      <c r="P39" s="21"/>
      <c r="Q39" s="18"/>
      <c r="R39" s="16" t="s">
        <v>15</v>
      </c>
      <c r="S39" s="14">
        <f t="shared" si="2"/>
        <v>46039</v>
      </c>
      <c r="T39" s="8"/>
      <c r="U39" s="8"/>
      <c r="V39" s="8"/>
      <c r="W39" s="8"/>
      <c r="X39" s="8"/>
      <c r="Y39" s="8"/>
      <c r="Z39" s="8"/>
    </row>
    <row r="40" ht="22.5" customHeight="1">
      <c r="A40" s="9" t="str">
        <f t="shared" si="1"/>
        <v>LEA-0039</v>
      </c>
      <c r="B40" s="20">
        <v>45981.0</v>
      </c>
      <c r="C40" s="16" t="s">
        <v>39</v>
      </c>
      <c r="D40" s="16" t="s">
        <v>62</v>
      </c>
      <c r="E40" s="17" t="s">
        <v>140</v>
      </c>
      <c r="F40" s="17">
        <v>9.448189403E9</v>
      </c>
      <c r="G40" s="17"/>
      <c r="H40" s="17"/>
      <c r="I40" s="17" t="s">
        <v>187</v>
      </c>
      <c r="J40" s="17" t="s">
        <v>188</v>
      </c>
      <c r="K40" s="16" t="s">
        <v>77</v>
      </c>
      <c r="L40" s="17">
        <v>4.0</v>
      </c>
      <c r="M40" s="16" t="s">
        <v>16</v>
      </c>
      <c r="N40" s="22">
        <v>45802.0</v>
      </c>
      <c r="O40" s="17">
        <v>2400.0</v>
      </c>
      <c r="P40" s="21"/>
      <c r="Q40" s="18"/>
      <c r="R40" s="16" t="s">
        <v>15</v>
      </c>
      <c r="S40" s="14">
        <f t="shared" si="2"/>
        <v>46039</v>
      </c>
      <c r="T40" s="8"/>
      <c r="U40" s="8"/>
      <c r="V40" s="8"/>
      <c r="W40" s="8"/>
      <c r="X40" s="8"/>
      <c r="Y40" s="8"/>
      <c r="Z40" s="8"/>
    </row>
    <row r="41" ht="22.5" customHeight="1">
      <c r="A41" s="9" t="str">
        <f t="shared" si="1"/>
        <v>LEA-0040</v>
      </c>
      <c r="B41" s="20">
        <v>45981.0</v>
      </c>
      <c r="C41" s="16" t="s">
        <v>39</v>
      </c>
      <c r="D41" s="16" t="s">
        <v>62</v>
      </c>
      <c r="E41" s="17" t="s">
        <v>189</v>
      </c>
      <c r="F41" s="17">
        <v>9.019808637E9</v>
      </c>
      <c r="G41" s="17"/>
      <c r="H41" s="17"/>
      <c r="I41" s="17" t="s">
        <v>190</v>
      </c>
      <c r="J41" s="17" t="s">
        <v>145</v>
      </c>
      <c r="K41" s="16" t="s">
        <v>77</v>
      </c>
      <c r="L41" s="17">
        <v>1.5</v>
      </c>
      <c r="M41" s="16" t="s">
        <v>16</v>
      </c>
      <c r="N41" s="19">
        <v>3.0</v>
      </c>
      <c r="O41" s="17">
        <v>900.0</v>
      </c>
      <c r="P41" s="21"/>
      <c r="Q41" s="18"/>
      <c r="R41" s="16" t="s">
        <v>15</v>
      </c>
      <c r="S41" s="14">
        <f t="shared" si="2"/>
        <v>46039</v>
      </c>
      <c r="T41" s="8"/>
      <c r="U41" s="8"/>
      <c r="V41" s="8"/>
      <c r="W41" s="8"/>
      <c r="X41" s="8"/>
      <c r="Y41" s="8"/>
      <c r="Z41" s="8"/>
    </row>
    <row r="42" ht="22.5" customHeight="1">
      <c r="A42" s="9" t="str">
        <f t="shared" si="1"/>
        <v>LEA-0041</v>
      </c>
      <c r="B42" s="20">
        <v>45981.0</v>
      </c>
      <c r="C42" s="16" t="s">
        <v>39</v>
      </c>
      <c r="D42" s="16" t="s">
        <v>62</v>
      </c>
      <c r="E42" s="17" t="s">
        <v>191</v>
      </c>
      <c r="F42" s="17">
        <v>9.901904818E9</v>
      </c>
      <c r="G42" s="17"/>
      <c r="H42" s="17"/>
      <c r="I42" s="17" t="s">
        <v>192</v>
      </c>
      <c r="J42" s="17" t="s">
        <v>152</v>
      </c>
      <c r="K42" s="16" t="s">
        <v>77</v>
      </c>
      <c r="L42" s="17">
        <v>3.3</v>
      </c>
      <c r="M42" s="16" t="s">
        <v>16</v>
      </c>
      <c r="N42" s="19">
        <v>8.0</v>
      </c>
      <c r="O42" s="17">
        <v>2000.0</v>
      </c>
      <c r="P42" s="21"/>
      <c r="Q42" s="18"/>
      <c r="R42" s="16" t="s">
        <v>15</v>
      </c>
      <c r="S42" s="14">
        <f t="shared" si="2"/>
        <v>46039</v>
      </c>
      <c r="T42" s="8"/>
      <c r="U42" s="8"/>
      <c r="V42" s="8"/>
      <c r="W42" s="8"/>
      <c r="X42" s="8"/>
      <c r="Y42" s="8"/>
      <c r="Z42" s="8"/>
    </row>
    <row r="43" ht="22.5" customHeight="1">
      <c r="A43" s="9" t="str">
        <f t="shared" si="1"/>
        <v>LEA-0042</v>
      </c>
      <c r="B43" s="20">
        <v>45985.0</v>
      </c>
      <c r="C43" s="16" t="s">
        <v>39</v>
      </c>
      <c r="D43" s="16" t="s">
        <v>62</v>
      </c>
      <c r="E43" s="17" t="s">
        <v>193</v>
      </c>
      <c r="F43" s="17">
        <v>9.164548607E9</v>
      </c>
      <c r="G43" s="17"/>
      <c r="H43" s="17"/>
      <c r="I43" s="17" t="s">
        <v>194</v>
      </c>
      <c r="J43" s="17" t="s">
        <v>130</v>
      </c>
      <c r="K43" s="16" t="s">
        <v>77</v>
      </c>
      <c r="L43" s="17">
        <v>3.3</v>
      </c>
      <c r="M43" s="16" t="s">
        <v>16</v>
      </c>
      <c r="N43" s="19">
        <v>18.0</v>
      </c>
      <c r="O43" s="17">
        <v>2000.0</v>
      </c>
      <c r="P43" s="21"/>
      <c r="Q43" s="18"/>
      <c r="R43" s="16" t="s">
        <v>15</v>
      </c>
      <c r="S43" s="14">
        <f t="shared" si="2"/>
        <v>46039</v>
      </c>
      <c r="T43" s="8"/>
      <c r="U43" s="8"/>
      <c r="V43" s="8"/>
      <c r="W43" s="8"/>
      <c r="X43" s="8"/>
      <c r="Y43" s="8"/>
      <c r="Z43" s="8"/>
    </row>
    <row r="44" ht="22.5" customHeight="1">
      <c r="A44" s="9" t="str">
        <f t="shared" si="1"/>
        <v>LEA-0043</v>
      </c>
      <c r="B44" s="20">
        <v>45985.0</v>
      </c>
      <c r="C44" s="16" t="s">
        <v>39</v>
      </c>
      <c r="D44" s="16" t="s">
        <v>62</v>
      </c>
      <c r="E44" s="17" t="s">
        <v>195</v>
      </c>
      <c r="F44" s="17">
        <v>9.380594703E9</v>
      </c>
      <c r="G44" s="17"/>
      <c r="H44" s="17"/>
      <c r="I44" s="17" t="s">
        <v>196</v>
      </c>
      <c r="J44" s="17" t="s">
        <v>130</v>
      </c>
      <c r="K44" s="16" t="s">
        <v>77</v>
      </c>
      <c r="L44" s="17">
        <v>1.0</v>
      </c>
      <c r="M44" s="16" t="s">
        <v>16</v>
      </c>
      <c r="N44" s="19">
        <v>6.0</v>
      </c>
      <c r="O44" s="17">
        <v>600.0</v>
      </c>
      <c r="P44" s="21"/>
      <c r="Q44" s="18"/>
      <c r="R44" s="16" t="s">
        <v>15</v>
      </c>
      <c r="S44" s="14">
        <f t="shared" si="2"/>
        <v>46039</v>
      </c>
      <c r="T44" s="8"/>
      <c r="U44" s="8"/>
      <c r="V44" s="8"/>
      <c r="W44" s="8"/>
      <c r="X44" s="8"/>
      <c r="Y44" s="8"/>
      <c r="Z44" s="8"/>
    </row>
    <row r="45" ht="22.5" customHeight="1">
      <c r="A45" s="9" t="str">
        <f t="shared" si="1"/>
        <v>LEA-0044</v>
      </c>
      <c r="B45" s="20">
        <v>45985.0</v>
      </c>
      <c r="C45" s="16" t="s">
        <v>39</v>
      </c>
      <c r="D45" s="16" t="s">
        <v>62</v>
      </c>
      <c r="E45" s="17" t="s">
        <v>197</v>
      </c>
      <c r="F45" s="17">
        <v>9.59114019E9</v>
      </c>
      <c r="G45" s="17"/>
      <c r="H45" s="17"/>
      <c r="I45" s="17" t="s">
        <v>198</v>
      </c>
      <c r="J45" s="17" t="s">
        <v>130</v>
      </c>
      <c r="K45" s="16" t="s">
        <v>77</v>
      </c>
      <c r="L45" s="17">
        <v>3.5</v>
      </c>
      <c r="M45" s="16" t="s">
        <v>16</v>
      </c>
      <c r="N45" s="19">
        <v>18.0</v>
      </c>
      <c r="O45" s="17">
        <v>2100.0</v>
      </c>
      <c r="P45" s="21"/>
      <c r="Q45" s="18"/>
      <c r="R45" s="16" t="s">
        <v>15</v>
      </c>
      <c r="S45" s="14">
        <f t="shared" si="2"/>
        <v>46039</v>
      </c>
      <c r="T45" s="8"/>
      <c r="U45" s="8"/>
      <c r="V45" s="8"/>
      <c r="W45" s="8"/>
      <c r="X45" s="8"/>
      <c r="Y45" s="8"/>
      <c r="Z45" s="8"/>
    </row>
    <row r="46" ht="22.5" customHeight="1">
      <c r="A46" s="9" t="str">
        <f t="shared" si="1"/>
        <v>LEA-0045</v>
      </c>
      <c r="B46" s="20">
        <v>45985.0</v>
      </c>
      <c r="C46" s="16" t="s">
        <v>39</v>
      </c>
      <c r="D46" s="16" t="s">
        <v>62</v>
      </c>
      <c r="E46" s="17" t="s">
        <v>199</v>
      </c>
      <c r="F46" s="17">
        <v>9.902195565E9</v>
      </c>
      <c r="G46" s="17"/>
      <c r="H46" s="17"/>
      <c r="I46" s="17" t="s">
        <v>198</v>
      </c>
      <c r="J46" s="17" t="s">
        <v>130</v>
      </c>
      <c r="K46" s="16" t="s">
        <v>77</v>
      </c>
      <c r="L46" s="17">
        <v>1.5</v>
      </c>
      <c r="M46" s="16" t="s">
        <v>16</v>
      </c>
      <c r="N46" s="19">
        <v>15.0</v>
      </c>
      <c r="O46" s="17">
        <v>900.0</v>
      </c>
      <c r="P46" s="21"/>
      <c r="Q46" s="18"/>
      <c r="R46" s="16" t="s">
        <v>15</v>
      </c>
      <c r="S46" s="14">
        <f t="shared" si="2"/>
        <v>46039</v>
      </c>
      <c r="T46" s="8"/>
      <c r="U46" s="8"/>
      <c r="V46" s="8"/>
      <c r="W46" s="8"/>
      <c r="X46" s="8"/>
      <c r="Y46" s="8"/>
      <c r="Z46" s="8"/>
    </row>
    <row r="47" ht="22.5" customHeight="1">
      <c r="A47" s="9" t="str">
        <f t="shared" si="1"/>
        <v>LEA-0046</v>
      </c>
      <c r="B47" s="20">
        <v>45985.0</v>
      </c>
      <c r="C47" s="16" t="s">
        <v>39</v>
      </c>
      <c r="D47" s="16" t="s">
        <v>62</v>
      </c>
      <c r="E47" s="17" t="s">
        <v>200</v>
      </c>
      <c r="F47" s="17">
        <v>7.406890156E9</v>
      </c>
      <c r="G47" s="17"/>
      <c r="H47" s="17"/>
      <c r="I47" s="17" t="s">
        <v>194</v>
      </c>
      <c r="J47" s="17" t="s">
        <v>130</v>
      </c>
      <c r="K47" s="16" t="s">
        <v>77</v>
      </c>
      <c r="L47" s="17">
        <v>2.5</v>
      </c>
      <c r="M47" s="16" t="s">
        <v>16</v>
      </c>
      <c r="N47" s="19">
        <v>14.0</v>
      </c>
      <c r="O47" s="17">
        <v>1500.0</v>
      </c>
      <c r="P47" s="21"/>
      <c r="Q47" s="18"/>
      <c r="R47" s="16" t="s">
        <v>15</v>
      </c>
      <c r="S47" s="14">
        <f t="shared" si="2"/>
        <v>46039</v>
      </c>
      <c r="T47" s="8"/>
      <c r="U47" s="8"/>
      <c r="V47" s="8"/>
      <c r="W47" s="8"/>
      <c r="X47" s="8"/>
      <c r="Y47" s="8"/>
      <c r="Z47" s="8"/>
    </row>
    <row r="48" ht="22.5" customHeight="1">
      <c r="A48" s="9" t="str">
        <f t="shared" si="1"/>
        <v>LEA-0047</v>
      </c>
      <c r="B48" s="20">
        <v>45985.0</v>
      </c>
      <c r="C48" s="16" t="s">
        <v>39</v>
      </c>
      <c r="D48" s="16" t="s">
        <v>62</v>
      </c>
      <c r="E48" s="17" t="s">
        <v>201</v>
      </c>
      <c r="F48" s="17">
        <v>7.760064946E9</v>
      </c>
      <c r="G48" s="17"/>
      <c r="H48" s="17"/>
      <c r="I48" s="17" t="s">
        <v>194</v>
      </c>
      <c r="J48" s="17" t="s">
        <v>130</v>
      </c>
      <c r="K48" s="16" t="s">
        <v>77</v>
      </c>
      <c r="L48" s="17">
        <v>5.0</v>
      </c>
      <c r="M48" s="16" t="s">
        <v>16</v>
      </c>
      <c r="N48" s="19">
        <v>30.0</v>
      </c>
      <c r="O48" s="17">
        <v>3000.0</v>
      </c>
      <c r="P48" s="21"/>
      <c r="Q48" s="18"/>
      <c r="R48" s="16" t="s">
        <v>15</v>
      </c>
      <c r="S48" s="14">
        <f t="shared" si="2"/>
        <v>46039</v>
      </c>
      <c r="T48" s="8"/>
      <c r="U48" s="8"/>
      <c r="V48" s="8"/>
      <c r="W48" s="8"/>
      <c r="X48" s="8"/>
      <c r="Y48" s="8"/>
      <c r="Z48" s="8"/>
    </row>
    <row r="49" ht="22.5" customHeight="1">
      <c r="A49" s="9" t="str">
        <f t="shared" si="1"/>
        <v>LEA-0048</v>
      </c>
      <c r="B49" s="20">
        <v>45985.0</v>
      </c>
      <c r="C49" s="16" t="s">
        <v>39</v>
      </c>
      <c r="D49" s="16" t="s">
        <v>62</v>
      </c>
      <c r="E49" s="17" t="s">
        <v>202</v>
      </c>
      <c r="F49" s="17">
        <v>9.741032671E9</v>
      </c>
      <c r="G49" s="17"/>
      <c r="H49" s="17"/>
      <c r="I49" s="17" t="s">
        <v>194</v>
      </c>
      <c r="J49" s="17" t="s">
        <v>130</v>
      </c>
      <c r="K49" s="16" t="s">
        <v>77</v>
      </c>
      <c r="L49" s="17">
        <v>6.6</v>
      </c>
      <c r="M49" s="16" t="s">
        <v>16</v>
      </c>
      <c r="N49" s="19">
        <v>15.0</v>
      </c>
      <c r="O49" s="17">
        <v>4000.0</v>
      </c>
      <c r="P49" s="21"/>
      <c r="Q49" s="18"/>
      <c r="R49" s="16" t="s">
        <v>15</v>
      </c>
      <c r="S49" s="14">
        <f t="shared" si="2"/>
        <v>46039</v>
      </c>
      <c r="T49" s="8"/>
      <c r="U49" s="8"/>
      <c r="V49" s="8"/>
      <c r="W49" s="8"/>
      <c r="X49" s="8"/>
      <c r="Y49" s="8"/>
      <c r="Z49" s="8"/>
    </row>
    <row r="50" ht="22.5" customHeight="1">
      <c r="A50" s="9" t="str">
        <f t="shared" si="1"/>
        <v>LEA-0049</v>
      </c>
      <c r="B50" s="20">
        <v>45985.0</v>
      </c>
      <c r="C50" s="16" t="s">
        <v>39</v>
      </c>
      <c r="D50" s="16" t="s">
        <v>62</v>
      </c>
      <c r="E50" s="17" t="s">
        <v>203</v>
      </c>
      <c r="F50" s="17">
        <v>8.861286928E9</v>
      </c>
      <c r="G50" s="17"/>
      <c r="H50" s="17"/>
      <c r="I50" s="17" t="s">
        <v>194</v>
      </c>
      <c r="J50" s="17" t="s">
        <v>130</v>
      </c>
      <c r="K50" s="16" t="s">
        <v>77</v>
      </c>
      <c r="L50" s="17">
        <v>0.8</v>
      </c>
      <c r="M50" s="16" t="s">
        <v>16</v>
      </c>
      <c r="N50" s="19">
        <v>10.0</v>
      </c>
      <c r="O50" s="17">
        <v>500.0</v>
      </c>
      <c r="P50" s="21"/>
      <c r="Q50" s="18"/>
      <c r="R50" s="16" t="s">
        <v>15</v>
      </c>
      <c r="S50" s="14">
        <f t="shared" si="2"/>
        <v>46039</v>
      </c>
      <c r="T50" s="8"/>
      <c r="U50" s="8"/>
      <c r="V50" s="8"/>
      <c r="W50" s="8"/>
      <c r="X50" s="8"/>
      <c r="Y50" s="8"/>
      <c r="Z50" s="8"/>
    </row>
    <row r="51" ht="22.5" customHeight="1">
      <c r="A51" s="9" t="str">
        <f t="shared" si="1"/>
        <v>LEA-0050</v>
      </c>
      <c r="B51" s="20">
        <v>45985.0</v>
      </c>
      <c r="C51" s="16" t="s">
        <v>39</v>
      </c>
      <c r="D51" s="16" t="s">
        <v>62</v>
      </c>
      <c r="E51" s="17" t="s">
        <v>204</v>
      </c>
      <c r="F51" s="17">
        <v>9.74142199E9</v>
      </c>
      <c r="G51" s="17"/>
      <c r="H51" s="17"/>
      <c r="I51" s="17" t="s">
        <v>194</v>
      </c>
      <c r="J51" s="17" t="s">
        <v>130</v>
      </c>
      <c r="K51" s="16" t="s">
        <v>77</v>
      </c>
      <c r="L51" s="17">
        <v>0.5</v>
      </c>
      <c r="M51" s="16" t="s">
        <v>16</v>
      </c>
      <c r="N51" s="19">
        <v>60.0</v>
      </c>
      <c r="O51" s="17">
        <v>350.0</v>
      </c>
      <c r="P51" s="21"/>
      <c r="Q51" s="18"/>
      <c r="R51" s="16" t="s">
        <v>15</v>
      </c>
      <c r="S51" s="14">
        <f t="shared" si="2"/>
        <v>46039</v>
      </c>
      <c r="T51" s="8"/>
      <c r="U51" s="8"/>
      <c r="V51" s="8"/>
      <c r="W51" s="8"/>
      <c r="X51" s="8"/>
      <c r="Y51" s="8"/>
      <c r="Z51" s="8"/>
    </row>
    <row r="52" ht="22.5" customHeight="1">
      <c r="A52" s="9" t="str">
        <f t="shared" si="1"/>
        <v>LEA-0051</v>
      </c>
      <c r="B52" s="20">
        <v>45985.0</v>
      </c>
      <c r="C52" s="16" t="s">
        <v>39</v>
      </c>
      <c r="D52" s="16" t="s">
        <v>62</v>
      </c>
      <c r="E52" s="17" t="s">
        <v>205</v>
      </c>
      <c r="F52" s="17">
        <v>9.535275981E9</v>
      </c>
      <c r="G52" s="17"/>
      <c r="H52" s="17"/>
      <c r="I52" s="17" t="s">
        <v>194</v>
      </c>
      <c r="J52" s="17" t="s">
        <v>130</v>
      </c>
      <c r="K52" s="16" t="s">
        <v>77</v>
      </c>
      <c r="L52" s="17">
        <v>0.5</v>
      </c>
      <c r="M52" s="16" t="s">
        <v>16</v>
      </c>
      <c r="N52" s="19">
        <v>20.0</v>
      </c>
      <c r="O52" s="17">
        <v>350.0</v>
      </c>
      <c r="P52" s="21"/>
      <c r="Q52" s="18"/>
      <c r="R52" s="16" t="s">
        <v>15</v>
      </c>
      <c r="S52" s="14">
        <f t="shared" si="2"/>
        <v>46039</v>
      </c>
      <c r="T52" s="8"/>
      <c r="U52" s="8"/>
      <c r="V52" s="8"/>
      <c r="W52" s="8"/>
      <c r="X52" s="8"/>
      <c r="Y52" s="8"/>
      <c r="Z52" s="8"/>
    </row>
    <row r="53" ht="22.5" customHeight="1">
      <c r="A53" s="9" t="str">
        <f t="shared" si="1"/>
        <v>LEA-0052</v>
      </c>
      <c r="B53" s="20">
        <v>45989.0</v>
      </c>
      <c r="C53" s="16" t="s">
        <v>39</v>
      </c>
      <c r="D53" s="16" t="s">
        <v>62</v>
      </c>
      <c r="E53" s="17" t="s">
        <v>206</v>
      </c>
      <c r="F53" s="17">
        <v>9.902993393E9</v>
      </c>
      <c r="G53" s="17"/>
      <c r="H53" s="17"/>
      <c r="I53" s="17" t="s">
        <v>207</v>
      </c>
      <c r="J53" s="17" t="s">
        <v>208</v>
      </c>
      <c r="K53" s="16" t="s">
        <v>75</v>
      </c>
      <c r="L53" s="17">
        <v>6.0</v>
      </c>
      <c r="M53" s="16" t="s">
        <v>16</v>
      </c>
      <c r="N53" s="19">
        <v>35.0</v>
      </c>
      <c r="O53" s="17">
        <v>3000.0</v>
      </c>
      <c r="P53" s="21"/>
      <c r="Q53" s="18"/>
      <c r="R53" s="16" t="s">
        <v>15</v>
      </c>
      <c r="S53" s="14">
        <f t="shared" si="2"/>
        <v>46039</v>
      </c>
      <c r="T53" s="8"/>
      <c r="U53" s="8"/>
      <c r="V53" s="8"/>
      <c r="W53" s="8"/>
      <c r="X53" s="8"/>
      <c r="Y53" s="8"/>
      <c r="Z53" s="8"/>
    </row>
    <row r="54" ht="22.5" customHeight="1">
      <c r="A54" s="9" t="str">
        <f t="shared" si="1"/>
        <v>LEA-0053</v>
      </c>
      <c r="B54" s="20">
        <v>45989.0</v>
      </c>
      <c r="C54" s="16" t="s">
        <v>39</v>
      </c>
      <c r="D54" s="16" t="s">
        <v>62</v>
      </c>
      <c r="E54" s="17" t="s">
        <v>209</v>
      </c>
      <c r="F54" s="17">
        <v>9.900283509E9</v>
      </c>
      <c r="G54" s="17"/>
      <c r="H54" s="17"/>
      <c r="I54" s="17" t="s">
        <v>207</v>
      </c>
      <c r="J54" s="17" t="s">
        <v>210</v>
      </c>
      <c r="K54" s="16" t="s">
        <v>75</v>
      </c>
      <c r="L54" s="17">
        <v>4.0</v>
      </c>
      <c r="M54" s="16" t="s">
        <v>16</v>
      </c>
      <c r="N54" s="19">
        <v>30.0</v>
      </c>
      <c r="O54" s="17">
        <v>2400.0</v>
      </c>
      <c r="P54" s="21"/>
      <c r="Q54" s="18"/>
      <c r="R54" s="16" t="s">
        <v>15</v>
      </c>
      <c r="S54" s="14">
        <f t="shared" si="2"/>
        <v>46039</v>
      </c>
      <c r="T54" s="8"/>
      <c r="U54" s="8"/>
      <c r="V54" s="8"/>
      <c r="W54" s="8"/>
      <c r="X54" s="8"/>
      <c r="Y54" s="8"/>
      <c r="Z54" s="8"/>
    </row>
    <row r="55" ht="22.5" customHeight="1">
      <c r="A55" s="9" t="str">
        <f t="shared" si="1"/>
        <v>LEA-0054</v>
      </c>
      <c r="B55" s="20">
        <v>45989.0</v>
      </c>
      <c r="C55" s="16" t="s">
        <v>39</v>
      </c>
      <c r="D55" s="16" t="s">
        <v>62</v>
      </c>
      <c r="E55" s="17" t="s">
        <v>211</v>
      </c>
      <c r="F55" s="17">
        <v>9.44815433E9</v>
      </c>
      <c r="G55" s="17"/>
      <c r="H55" s="17"/>
      <c r="I55" s="17" t="s">
        <v>210</v>
      </c>
      <c r="J55" s="17" t="s">
        <v>210</v>
      </c>
      <c r="K55" s="16" t="s">
        <v>75</v>
      </c>
      <c r="L55" s="17">
        <v>6.0</v>
      </c>
      <c r="M55" s="16" t="s">
        <v>16</v>
      </c>
      <c r="N55" s="19">
        <v>32.0</v>
      </c>
      <c r="O55" s="17">
        <v>3000.0</v>
      </c>
      <c r="P55" s="21"/>
      <c r="Q55" s="18"/>
      <c r="R55" s="16" t="s">
        <v>15</v>
      </c>
      <c r="S55" s="14">
        <f t="shared" si="2"/>
        <v>46039</v>
      </c>
      <c r="T55" s="8"/>
      <c r="U55" s="8"/>
      <c r="V55" s="8"/>
      <c r="W55" s="8"/>
      <c r="X55" s="8"/>
      <c r="Y55" s="8"/>
      <c r="Z55" s="8"/>
    </row>
    <row r="56" ht="22.5" customHeight="1">
      <c r="A56" s="9" t="str">
        <f t="shared" si="1"/>
        <v>LEA-0055</v>
      </c>
      <c r="B56" s="20">
        <v>45989.0</v>
      </c>
      <c r="C56" s="16" t="s">
        <v>39</v>
      </c>
      <c r="D56" s="16" t="s">
        <v>62</v>
      </c>
      <c r="E56" s="17" t="s">
        <v>212</v>
      </c>
      <c r="F56" s="17">
        <v>8.880690071E9</v>
      </c>
      <c r="G56" s="17"/>
      <c r="H56" s="17"/>
      <c r="I56" s="17" t="s">
        <v>208</v>
      </c>
      <c r="J56" s="17" t="s">
        <v>210</v>
      </c>
      <c r="K56" s="16" t="s">
        <v>75</v>
      </c>
      <c r="L56" s="17">
        <v>4.3</v>
      </c>
      <c r="M56" s="16" t="s">
        <v>16</v>
      </c>
      <c r="N56" s="19">
        <v>7.0</v>
      </c>
      <c r="O56" s="17">
        <v>2600.0</v>
      </c>
      <c r="P56" s="21"/>
      <c r="Q56" s="18"/>
      <c r="R56" s="16" t="s">
        <v>15</v>
      </c>
      <c r="S56" s="14">
        <f t="shared" si="2"/>
        <v>46039</v>
      </c>
      <c r="T56" s="8"/>
      <c r="U56" s="8"/>
      <c r="V56" s="8"/>
      <c r="W56" s="8"/>
      <c r="X56" s="8"/>
      <c r="Y56" s="8"/>
      <c r="Z56" s="8"/>
    </row>
    <row r="57" ht="22.5" customHeight="1">
      <c r="A57" s="9" t="str">
        <f t="shared" si="1"/>
        <v>LEA-0056</v>
      </c>
      <c r="B57" s="20">
        <v>45989.0</v>
      </c>
      <c r="C57" s="16" t="s">
        <v>39</v>
      </c>
      <c r="D57" s="16" t="s">
        <v>62</v>
      </c>
      <c r="E57" s="17" t="s">
        <v>213</v>
      </c>
      <c r="F57" s="17">
        <v>9.591449323E9</v>
      </c>
      <c r="G57" s="17"/>
      <c r="H57" s="17"/>
      <c r="I57" s="17" t="s">
        <v>207</v>
      </c>
      <c r="J57" s="17" t="s">
        <v>210</v>
      </c>
      <c r="K57" s="16" t="s">
        <v>75</v>
      </c>
      <c r="L57" s="17">
        <v>2.0</v>
      </c>
      <c r="M57" s="16" t="s">
        <v>16</v>
      </c>
      <c r="N57" s="19">
        <v>35.0</v>
      </c>
      <c r="O57" s="17">
        <v>1200.0</v>
      </c>
      <c r="P57" s="21"/>
      <c r="Q57" s="18"/>
      <c r="R57" s="16" t="s">
        <v>15</v>
      </c>
      <c r="S57" s="14">
        <f t="shared" si="2"/>
        <v>46039</v>
      </c>
      <c r="T57" s="8"/>
      <c r="U57" s="8"/>
      <c r="V57" s="8"/>
      <c r="W57" s="8"/>
      <c r="X57" s="8"/>
      <c r="Y57" s="8"/>
      <c r="Z57" s="8"/>
    </row>
    <row r="58" ht="22.5" customHeight="1">
      <c r="A58" s="9" t="str">
        <f t="shared" si="1"/>
        <v>LEA-0057</v>
      </c>
      <c r="B58" s="20">
        <v>45989.0</v>
      </c>
      <c r="C58" s="16" t="s">
        <v>39</v>
      </c>
      <c r="D58" s="16" t="s">
        <v>62</v>
      </c>
      <c r="E58" s="17" t="s">
        <v>214</v>
      </c>
      <c r="F58" s="17">
        <v>8.310279046E9</v>
      </c>
      <c r="G58" s="17"/>
      <c r="H58" s="17"/>
      <c r="I58" s="17" t="s">
        <v>210</v>
      </c>
      <c r="J58" s="17" t="s">
        <v>210</v>
      </c>
      <c r="K58" s="16" t="s">
        <v>75</v>
      </c>
      <c r="L58" s="17">
        <v>2.0</v>
      </c>
      <c r="M58" s="16" t="s">
        <v>16</v>
      </c>
      <c r="N58" s="19">
        <v>15.0</v>
      </c>
      <c r="O58" s="17">
        <v>1200.0</v>
      </c>
      <c r="P58" s="21"/>
      <c r="Q58" s="18"/>
      <c r="R58" s="16" t="s">
        <v>15</v>
      </c>
      <c r="S58" s="14">
        <f t="shared" si="2"/>
        <v>46039</v>
      </c>
      <c r="T58" s="8"/>
      <c r="U58" s="8"/>
      <c r="V58" s="8"/>
      <c r="W58" s="8"/>
      <c r="X58" s="8"/>
      <c r="Y58" s="8"/>
      <c r="Z58" s="8"/>
    </row>
    <row r="59" ht="22.5" customHeight="1">
      <c r="A59" s="9" t="str">
        <f t="shared" si="1"/>
        <v>LEA-0058</v>
      </c>
      <c r="B59" s="20">
        <v>45989.0</v>
      </c>
      <c r="C59" s="16" t="s">
        <v>39</v>
      </c>
      <c r="D59" s="16" t="s">
        <v>62</v>
      </c>
      <c r="E59" s="17" t="s">
        <v>215</v>
      </c>
      <c r="F59" s="17">
        <v>9.980670155E9</v>
      </c>
      <c r="G59" s="17"/>
      <c r="H59" s="17"/>
      <c r="I59" s="17" t="s">
        <v>207</v>
      </c>
      <c r="J59" s="17" t="s">
        <v>210</v>
      </c>
      <c r="K59" s="16" t="s">
        <v>75</v>
      </c>
      <c r="L59" s="17">
        <v>3.0</v>
      </c>
      <c r="M59" s="16" t="s">
        <v>16</v>
      </c>
      <c r="N59" s="19">
        <v>28.0</v>
      </c>
      <c r="O59" s="17">
        <v>1800.0</v>
      </c>
      <c r="P59" s="21"/>
      <c r="Q59" s="18"/>
      <c r="R59" s="16" t="s">
        <v>15</v>
      </c>
      <c r="S59" s="14">
        <f t="shared" si="2"/>
        <v>46039</v>
      </c>
      <c r="T59" s="8"/>
      <c r="U59" s="8"/>
      <c r="V59" s="8"/>
      <c r="W59" s="8"/>
      <c r="X59" s="8"/>
      <c r="Y59" s="8"/>
      <c r="Z59" s="8"/>
    </row>
    <row r="60" ht="22.5" customHeight="1">
      <c r="A60" s="9" t="str">
        <f t="shared" si="1"/>
        <v>LEA-0059</v>
      </c>
      <c r="B60" s="20">
        <v>45989.0</v>
      </c>
      <c r="C60" s="16" t="s">
        <v>39</v>
      </c>
      <c r="D60" s="16" t="s">
        <v>62</v>
      </c>
      <c r="E60" s="17" t="s">
        <v>216</v>
      </c>
      <c r="F60" s="17">
        <v>9.686036432E9</v>
      </c>
      <c r="G60" s="17"/>
      <c r="H60" s="17"/>
      <c r="I60" s="17" t="s">
        <v>217</v>
      </c>
      <c r="J60" s="17" t="s">
        <v>77</v>
      </c>
      <c r="K60" s="16" t="s">
        <v>77</v>
      </c>
      <c r="L60" s="17">
        <v>2.5</v>
      </c>
      <c r="M60" s="16" t="s">
        <v>16</v>
      </c>
      <c r="N60" s="19">
        <v>15.0</v>
      </c>
      <c r="O60" s="17">
        <v>1500.0</v>
      </c>
      <c r="P60" s="21"/>
      <c r="Q60" s="18"/>
      <c r="R60" s="16" t="s">
        <v>15</v>
      </c>
      <c r="S60" s="14">
        <f t="shared" si="2"/>
        <v>46039</v>
      </c>
      <c r="T60" s="8"/>
      <c r="U60" s="8"/>
      <c r="V60" s="8"/>
      <c r="W60" s="8"/>
      <c r="X60" s="8"/>
      <c r="Y60" s="8"/>
      <c r="Z60" s="8"/>
    </row>
    <row r="61" ht="22.5" customHeight="1">
      <c r="A61" s="9" t="str">
        <f t="shared" si="1"/>
        <v>LEA-0060</v>
      </c>
      <c r="B61" s="20">
        <v>45989.0</v>
      </c>
      <c r="C61" s="16" t="s">
        <v>39</v>
      </c>
      <c r="D61" s="16" t="s">
        <v>62</v>
      </c>
      <c r="E61" s="17" t="s">
        <v>218</v>
      </c>
      <c r="F61" s="17">
        <v>9.90079073E9</v>
      </c>
      <c r="G61" s="17"/>
      <c r="H61" s="17"/>
      <c r="I61" s="17" t="s">
        <v>219</v>
      </c>
      <c r="J61" s="17" t="s">
        <v>152</v>
      </c>
      <c r="K61" s="16" t="s">
        <v>77</v>
      </c>
      <c r="L61" s="17">
        <v>7.0</v>
      </c>
      <c r="M61" s="16" t="s">
        <v>16</v>
      </c>
      <c r="N61" s="19">
        <v>25.0</v>
      </c>
      <c r="O61" s="17">
        <v>4200.0</v>
      </c>
      <c r="P61" s="21"/>
      <c r="Q61" s="18"/>
      <c r="R61" s="16" t="s">
        <v>15</v>
      </c>
      <c r="S61" s="14">
        <f t="shared" si="2"/>
        <v>46039</v>
      </c>
      <c r="T61" s="8"/>
      <c r="U61" s="8"/>
      <c r="V61" s="8"/>
      <c r="W61" s="8"/>
      <c r="X61" s="8"/>
      <c r="Y61" s="8"/>
      <c r="Z61" s="8"/>
    </row>
    <row r="62" ht="22.5" customHeight="1">
      <c r="A62" s="9" t="str">
        <f t="shared" si="1"/>
        <v>LEA-0061</v>
      </c>
      <c r="B62" s="20">
        <v>45989.0</v>
      </c>
      <c r="C62" s="16" t="s">
        <v>39</v>
      </c>
      <c r="D62" s="16" t="s">
        <v>62</v>
      </c>
      <c r="E62" s="17" t="s">
        <v>220</v>
      </c>
      <c r="F62" s="17">
        <v>9.448170533E9</v>
      </c>
      <c r="G62" s="17"/>
      <c r="H62" s="17"/>
      <c r="I62" s="17" t="s">
        <v>221</v>
      </c>
      <c r="J62" s="17" t="s">
        <v>77</v>
      </c>
      <c r="K62" s="16" t="s">
        <v>77</v>
      </c>
      <c r="L62" s="17">
        <v>5.0</v>
      </c>
      <c r="M62" s="16" t="s">
        <v>16</v>
      </c>
      <c r="N62" s="19">
        <v>18.0</v>
      </c>
      <c r="O62" s="17">
        <v>3000.0</v>
      </c>
      <c r="P62" s="21"/>
      <c r="Q62" s="18"/>
      <c r="R62" s="16" t="s">
        <v>15</v>
      </c>
      <c r="S62" s="14">
        <f t="shared" si="2"/>
        <v>46039</v>
      </c>
      <c r="T62" s="8"/>
      <c r="U62" s="8"/>
      <c r="V62" s="8"/>
      <c r="W62" s="8"/>
      <c r="X62" s="8"/>
      <c r="Y62" s="8"/>
      <c r="Z62" s="8"/>
    </row>
    <row r="63" ht="22.5" customHeight="1">
      <c r="A63" s="9" t="str">
        <f t="shared" si="1"/>
        <v>LEA-0062</v>
      </c>
      <c r="B63" s="20">
        <v>45989.0</v>
      </c>
      <c r="C63" s="16" t="s">
        <v>39</v>
      </c>
      <c r="D63" s="16" t="s">
        <v>62</v>
      </c>
      <c r="E63" s="17" t="s">
        <v>222</v>
      </c>
      <c r="F63" s="17">
        <v>9.380228575E9</v>
      </c>
      <c r="G63" s="17"/>
      <c r="H63" s="17"/>
      <c r="I63" s="17" t="s">
        <v>221</v>
      </c>
      <c r="J63" s="17" t="s">
        <v>77</v>
      </c>
      <c r="K63" s="16" t="s">
        <v>77</v>
      </c>
      <c r="L63" s="17">
        <v>1.6</v>
      </c>
      <c r="M63" s="16" t="s">
        <v>16</v>
      </c>
      <c r="N63" s="19">
        <v>13.0</v>
      </c>
      <c r="O63" s="17">
        <v>1000.0</v>
      </c>
      <c r="P63" s="21"/>
      <c r="Q63" s="18"/>
      <c r="R63" s="16" t="s">
        <v>15</v>
      </c>
      <c r="S63" s="14">
        <f t="shared" si="2"/>
        <v>46039</v>
      </c>
      <c r="T63" s="8"/>
      <c r="U63" s="8"/>
      <c r="V63" s="8"/>
      <c r="W63" s="8"/>
      <c r="X63" s="8"/>
      <c r="Y63" s="8"/>
      <c r="Z63" s="8"/>
    </row>
    <row r="64" ht="22.5" customHeight="1">
      <c r="A64" s="9" t="str">
        <f t="shared" si="1"/>
        <v>LEA-0063</v>
      </c>
      <c r="B64" s="20">
        <v>45989.0</v>
      </c>
      <c r="C64" s="16" t="s">
        <v>39</v>
      </c>
      <c r="D64" s="16" t="s">
        <v>62</v>
      </c>
      <c r="E64" s="17" t="s">
        <v>223</v>
      </c>
      <c r="F64" s="17">
        <v>7.411447782E9</v>
      </c>
      <c r="G64" s="17"/>
      <c r="H64" s="17"/>
      <c r="I64" s="17" t="s">
        <v>224</v>
      </c>
      <c r="J64" s="17" t="s">
        <v>77</v>
      </c>
      <c r="K64" s="16" t="s">
        <v>77</v>
      </c>
      <c r="L64" s="17">
        <v>6.0</v>
      </c>
      <c r="M64" s="16" t="s">
        <v>16</v>
      </c>
      <c r="N64" s="19">
        <v>10.0</v>
      </c>
      <c r="O64" s="17">
        <v>3600.0</v>
      </c>
      <c r="P64" s="21"/>
      <c r="Q64" s="18"/>
      <c r="R64" s="16" t="s">
        <v>15</v>
      </c>
      <c r="S64" s="14">
        <f t="shared" si="2"/>
        <v>46039</v>
      </c>
      <c r="T64" s="8"/>
      <c r="U64" s="8"/>
      <c r="V64" s="8"/>
      <c r="W64" s="8"/>
      <c r="X64" s="8"/>
      <c r="Y64" s="8"/>
      <c r="Z64" s="8"/>
    </row>
    <row r="65" ht="22.5" customHeight="1">
      <c r="A65" s="9" t="str">
        <f t="shared" si="1"/>
        <v>LEA-0064</v>
      </c>
      <c r="B65" s="20">
        <v>45989.0</v>
      </c>
      <c r="C65" s="16" t="s">
        <v>39</v>
      </c>
      <c r="D65" s="16" t="s">
        <v>62</v>
      </c>
      <c r="E65" s="17" t="s">
        <v>225</v>
      </c>
      <c r="F65" s="17">
        <v>9.611119772E9</v>
      </c>
      <c r="G65" s="17"/>
      <c r="H65" s="17"/>
      <c r="I65" s="17" t="s">
        <v>221</v>
      </c>
      <c r="J65" s="17" t="s">
        <v>77</v>
      </c>
      <c r="K65" s="16" t="s">
        <v>77</v>
      </c>
      <c r="L65" s="17">
        <v>4.0</v>
      </c>
      <c r="M65" s="16" t="s">
        <v>16</v>
      </c>
      <c r="N65" s="19">
        <v>8.0</v>
      </c>
      <c r="O65" s="17">
        <v>2400.0</v>
      </c>
      <c r="P65" s="21"/>
      <c r="Q65" s="18"/>
      <c r="R65" s="16" t="s">
        <v>15</v>
      </c>
      <c r="S65" s="14">
        <f t="shared" si="2"/>
        <v>46039</v>
      </c>
      <c r="T65" s="8"/>
      <c r="U65" s="8"/>
      <c r="V65" s="8"/>
      <c r="W65" s="8"/>
      <c r="X65" s="8"/>
      <c r="Y65" s="8"/>
      <c r="Z65" s="8"/>
    </row>
    <row r="66" ht="22.5" customHeight="1">
      <c r="A66" s="9" t="str">
        <f t="shared" si="1"/>
        <v>LEA-0065</v>
      </c>
      <c r="B66" s="20">
        <v>45989.0</v>
      </c>
      <c r="C66" s="16" t="s">
        <v>39</v>
      </c>
      <c r="D66" s="16" t="s">
        <v>62</v>
      </c>
      <c r="E66" s="17" t="s">
        <v>226</v>
      </c>
      <c r="F66" s="17">
        <v>7.022287904E9</v>
      </c>
      <c r="G66" s="17"/>
      <c r="H66" s="17"/>
      <c r="I66" s="17" t="s">
        <v>227</v>
      </c>
      <c r="J66" s="17" t="s">
        <v>188</v>
      </c>
      <c r="K66" s="16" t="s">
        <v>77</v>
      </c>
      <c r="L66" s="17">
        <v>2.0</v>
      </c>
      <c r="M66" s="16" t="s">
        <v>16</v>
      </c>
      <c r="N66" s="19">
        <v>20.0</v>
      </c>
      <c r="O66" s="17">
        <v>1200.0</v>
      </c>
      <c r="P66" s="21"/>
      <c r="Q66" s="18"/>
      <c r="R66" s="16" t="s">
        <v>15</v>
      </c>
      <c r="S66" s="14">
        <f t="shared" si="2"/>
        <v>46039</v>
      </c>
      <c r="T66" s="8"/>
      <c r="U66" s="8"/>
      <c r="V66" s="8"/>
      <c r="W66" s="8"/>
      <c r="X66" s="8"/>
      <c r="Y66" s="8"/>
      <c r="Z66" s="8"/>
    </row>
    <row r="67" ht="22.5" customHeight="1">
      <c r="A67" s="9" t="str">
        <f t="shared" si="1"/>
        <v>LEA-0066</v>
      </c>
      <c r="B67" s="20">
        <v>45992.0</v>
      </c>
      <c r="C67" s="16" t="s">
        <v>70</v>
      </c>
      <c r="D67" s="16" t="s">
        <v>62</v>
      </c>
      <c r="E67" s="17" t="s">
        <v>228</v>
      </c>
      <c r="F67" s="17">
        <v>9.663099971E9</v>
      </c>
      <c r="G67" s="17"/>
      <c r="H67" s="17"/>
      <c r="I67" s="17" t="s">
        <v>229</v>
      </c>
      <c r="J67" s="17" t="s">
        <v>230</v>
      </c>
      <c r="K67" s="16" t="s">
        <v>79</v>
      </c>
      <c r="L67" s="17">
        <v>5.0</v>
      </c>
      <c r="M67" s="16" t="s">
        <v>16</v>
      </c>
      <c r="N67" s="19">
        <v>35.0</v>
      </c>
      <c r="O67" s="17">
        <v>3000.0</v>
      </c>
      <c r="P67" s="21"/>
      <c r="Q67" s="18"/>
      <c r="R67" s="16" t="s">
        <v>15</v>
      </c>
      <c r="S67" s="14">
        <f t="shared" si="2"/>
        <v>46039</v>
      </c>
      <c r="T67" s="8"/>
      <c r="U67" s="8"/>
      <c r="V67" s="8"/>
      <c r="W67" s="8"/>
      <c r="X67" s="8"/>
      <c r="Y67" s="8"/>
      <c r="Z67" s="8"/>
    </row>
    <row r="68" ht="22.5" customHeight="1">
      <c r="A68" s="9" t="str">
        <f t="shared" si="1"/>
        <v>LEA-0067</v>
      </c>
      <c r="B68" s="20">
        <v>45992.0</v>
      </c>
      <c r="C68" s="16" t="s">
        <v>70</v>
      </c>
      <c r="D68" s="16" t="s">
        <v>62</v>
      </c>
      <c r="E68" s="17" t="s">
        <v>231</v>
      </c>
      <c r="F68" s="17">
        <v>8.197041388E9</v>
      </c>
      <c r="G68" s="17"/>
      <c r="H68" s="17"/>
      <c r="I68" s="17" t="s">
        <v>229</v>
      </c>
      <c r="J68" s="17" t="s">
        <v>230</v>
      </c>
      <c r="K68" s="16" t="s">
        <v>79</v>
      </c>
      <c r="L68" s="17">
        <v>2.0</v>
      </c>
      <c r="M68" s="16" t="s">
        <v>16</v>
      </c>
      <c r="N68" s="19">
        <v>20.0</v>
      </c>
      <c r="O68" s="17">
        <v>1200.0</v>
      </c>
      <c r="P68" s="21"/>
      <c r="Q68" s="18"/>
      <c r="R68" s="16" t="s">
        <v>15</v>
      </c>
      <c r="S68" s="14">
        <f t="shared" si="2"/>
        <v>46039</v>
      </c>
      <c r="T68" s="8"/>
      <c r="U68" s="8"/>
      <c r="V68" s="8"/>
      <c r="W68" s="8"/>
      <c r="X68" s="8"/>
      <c r="Y68" s="8"/>
      <c r="Z68" s="8"/>
    </row>
    <row r="69" ht="22.5" customHeight="1">
      <c r="A69" s="9" t="str">
        <f t="shared" si="1"/>
        <v>LEA-0068</v>
      </c>
      <c r="B69" s="20">
        <v>45992.0</v>
      </c>
      <c r="C69" s="16" t="s">
        <v>70</v>
      </c>
      <c r="D69" s="16" t="s">
        <v>62</v>
      </c>
      <c r="E69" s="17" t="s">
        <v>232</v>
      </c>
      <c r="F69" s="17">
        <v>9.611831401E9</v>
      </c>
      <c r="G69" s="17"/>
      <c r="H69" s="17"/>
      <c r="I69" s="17" t="s">
        <v>233</v>
      </c>
      <c r="J69" s="17" t="s">
        <v>230</v>
      </c>
      <c r="K69" s="16" t="s">
        <v>79</v>
      </c>
      <c r="L69" s="17">
        <v>15.0</v>
      </c>
      <c r="M69" s="16" t="s">
        <v>16</v>
      </c>
      <c r="N69" s="19">
        <v>15.0</v>
      </c>
      <c r="O69" s="17">
        <v>9000.0</v>
      </c>
      <c r="P69" s="21"/>
      <c r="Q69" s="18"/>
      <c r="R69" s="16" t="s">
        <v>15</v>
      </c>
      <c r="S69" s="14">
        <f t="shared" si="2"/>
        <v>46039</v>
      </c>
      <c r="T69" s="8"/>
      <c r="U69" s="8"/>
      <c r="V69" s="8"/>
      <c r="W69" s="8"/>
      <c r="X69" s="8"/>
      <c r="Y69" s="8"/>
      <c r="Z69" s="8"/>
    </row>
    <row r="70" ht="22.5" customHeight="1">
      <c r="A70" s="9" t="str">
        <f t="shared" si="1"/>
        <v>LEA-0069</v>
      </c>
      <c r="B70" s="20">
        <v>45992.0</v>
      </c>
      <c r="C70" s="16" t="s">
        <v>70</v>
      </c>
      <c r="D70" s="16" t="s">
        <v>62</v>
      </c>
      <c r="E70" s="17" t="s">
        <v>203</v>
      </c>
      <c r="F70" s="17">
        <v>9.242064418E9</v>
      </c>
      <c r="G70" s="17"/>
      <c r="H70" s="17"/>
      <c r="I70" s="17" t="s">
        <v>234</v>
      </c>
      <c r="J70" s="17" t="s">
        <v>235</v>
      </c>
      <c r="K70" s="16" t="s">
        <v>79</v>
      </c>
      <c r="L70" s="17">
        <v>10.0</v>
      </c>
      <c r="M70" s="16" t="s">
        <v>16</v>
      </c>
      <c r="N70" s="19">
        <v>10.0</v>
      </c>
      <c r="O70" s="17">
        <v>6000.0</v>
      </c>
      <c r="P70" s="21"/>
      <c r="Q70" s="18"/>
      <c r="R70" s="16" t="s">
        <v>15</v>
      </c>
      <c r="S70" s="14">
        <f t="shared" si="2"/>
        <v>46039</v>
      </c>
      <c r="T70" s="8"/>
      <c r="U70" s="8"/>
      <c r="V70" s="8"/>
      <c r="W70" s="8"/>
      <c r="X70" s="8"/>
      <c r="Y70" s="8"/>
      <c r="Z70" s="8"/>
    </row>
    <row r="71" ht="22.5" customHeight="1">
      <c r="A71" s="9" t="str">
        <f t="shared" si="1"/>
        <v>LEA-0070</v>
      </c>
      <c r="B71" s="20">
        <v>45992.0</v>
      </c>
      <c r="C71" s="16" t="s">
        <v>70</v>
      </c>
      <c r="D71" s="16" t="s">
        <v>62</v>
      </c>
      <c r="E71" s="17" t="s">
        <v>176</v>
      </c>
      <c r="F71" s="17">
        <v>9.886989649E9</v>
      </c>
      <c r="G71" s="17"/>
      <c r="H71" s="17"/>
      <c r="I71" s="17" t="s">
        <v>230</v>
      </c>
      <c r="J71" s="17" t="s">
        <v>230</v>
      </c>
      <c r="K71" s="16" t="s">
        <v>79</v>
      </c>
      <c r="L71" s="17">
        <v>30.0</v>
      </c>
      <c r="M71" s="16" t="s">
        <v>16</v>
      </c>
      <c r="N71" s="19">
        <v>15.0</v>
      </c>
      <c r="O71" s="17">
        <v>18000.0</v>
      </c>
      <c r="P71" s="21"/>
      <c r="Q71" s="18"/>
      <c r="R71" s="16" t="s">
        <v>15</v>
      </c>
      <c r="S71" s="14">
        <f t="shared" si="2"/>
        <v>46039</v>
      </c>
      <c r="T71" s="8"/>
      <c r="U71" s="8"/>
      <c r="V71" s="8"/>
      <c r="W71" s="8"/>
      <c r="X71" s="8"/>
      <c r="Y71" s="8"/>
      <c r="Z71" s="8"/>
    </row>
    <row r="72" ht="22.5" customHeight="1">
      <c r="A72" s="9" t="str">
        <f t="shared" si="1"/>
        <v>LEA-0071</v>
      </c>
      <c r="B72" s="20">
        <v>45992.0</v>
      </c>
      <c r="C72" s="16" t="s">
        <v>70</v>
      </c>
      <c r="D72" s="16" t="s">
        <v>62</v>
      </c>
      <c r="E72" s="17" t="s">
        <v>136</v>
      </c>
      <c r="F72" s="17">
        <v>9.880830949E9</v>
      </c>
      <c r="G72" s="17"/>
      <c r="H72" s="17"/>
      <c r="I72" s="17" t="s">
        <v>236</v>
      </c>
      <c r="J72" s="17" t="s">
        <v>230</v>
      </c>
      <c r="K72" s="16" t="s">
        <v>79</v>
      </c>
      <c r="L72" s="17">
        <v>16.0</v>
      </c>
      <c r="M72" s="16" t="s">
        <v>16</v>
      </c>
      <c r="N72" s="19">
        <v>20.0</v>
      </c>
      <c r="O72" s="17">
        <v>10000.0</v>
      </c>
      <c r="P72" s="21"/>
      <c r="Q72" s="18"/>
      <c r="R72" s="16" t="s">
        <v>15</v>
      </c>
      <c r="S72" s="14">
        <f t="shared" si="2"/>
        <v>46039</v>
      </c>
      <c r="T72" s="8"/>
      <c r="U72" s="8"/>
      <c r="V72" s="8"/>
      <c r="W72" s="8"/>
      <c r="X72" s="8"/>
      <c r="Y72" s="8"/>
      <c r="Z72" s="8"/>
    </row>
    <row r="73" ht="22.5" customHeight="1">
      <c r="A73" s="9" t="str">
        <f t="shared" si="1"/>
        <v>LEA-0072</v>
      </c>
      <c r="B73" s="20">
        <v>45994.0</v>
      </c>
      <c r="C73" s="16" t="s">
        <v>63</v>
      </c>
      <c r="D73" s="16" t="s">
        <v>55</v>
      </c>
      <c r="E73" s="17" t="s">
        <v>237</v>
      </c>
      <c r="F73" s="17">
        <v>8.861521676E9</v>
      </c>
      <c r="G73" s="17"/>
      <c r="H73" s="17"/>
      <c r="I73" s="17" t="s">
        <v>238</v>
      </c>
      <c r="J73" s="17" t="s">
        <v>239</v>
      </c>
      <c r="K73" s="16" t="s">
        <v>77</v>
      </c>
      <c r="L73" s="17">
        <v>3.0</v>
      </c>
      <c r="M73" s="16" t="s">
        <v>16</v>
      </c>
      <c r="N73" s="19">
        <v>15.0</v>
      </c>
      <c r="O73" s="17">
        <v>1500.0</v>
      </c>
      <c r="P73" s="21"/>
      <c r="Q73" s="18"/>
      <c r="R73" s="16" t="s">
        <v>15</v>
      </c>
      <c r="S73" s="14">
        <f t="shared" si="2"/>
        <v>46039</v>
      </c>
      <c r="T73" s="8"/>
      <c r="U73" s="8"/>
      <c r="V73" s="8"/>
      <c r="W73" s="8"/>
      <c r="X73" s="8"/>
      <c r="Y73" s="8"/>
      <c r="Z73" s="8"/>
    </row>
    <row r="74" ht="22.5" customHeight="1">
      <c r="A74" s="9" t="str">
        <f t="shared" si="1"/>
        <v>LEA-0073</v>
      </c>
      <c r="B74" s="20">
        <v>45994.0</v>
      </c>
      <c r="C74" s="16" t="s">
        <v>39</v>
      </c>
      <c r="D74" s="16" t="s">
        <v>62</v>
      </c>
      <c r="E74" s="17" t="s">
        <v>240</v>
      </c>
      <c r="F74" s="17">
        <v>9.886218675E9</v>
      </c>
      <c r="G74" s="17"/>
      <c r="H74" s="17"/>
      <c r="I74" s="17" t="s">
        <v>241</v>
      </c>
      <c r="J74" s="17" t="s">
        <v>130</v>
      </c>
      <c r="K74" s="16" t="s">
        <v>77</v>
      </c>
      <c r="L74" s="17">
        <v>5.0</v>
      </c>
      <c r="M74" s="16" t="s">
        <v>16</v>
      </c>
      <c r="N74" s="19">
        <v>8.0</v>
      </c>
      <c r="O74" s="17">
        <v>3000.0</v>
      </c>
      <c r="P74" s="21"/>
      <c r="Q74" s="18"/>
      <c r="R74" s="16" t="s">
        <v>15</v>
      </c>
      <c r="S74" s="14">
        <f t="shared" si="2"/>
        <v>46039</v>
      </c>
      <c r="T74" s="8"/>
      <c r="U74" s="8"/>
      <c r="V74" s="8"/>
      <c r="W74" s="8"/>
      <c r="X74" s="8"/>
      <c r="Y74" s="8"/>
      <c r="Z74" s="8"/>
    </row>
    <row r="75" ht="22.5" customHeight="1">
      <c r="A75" s="9" t="str">
        <f t="shared" si="1"/>
        <v>LEA-0074</v>
      </c>
      <c r="B75" s="20">
        <v>45994.0</v>
      </c>
      <c r="C75" s="16" t="s">
        <v>39</v>
      </c>
      <c r="D75" s="16" t="s">
        <v>62</v>
      </c>
      <c r="E75" s="17" t="s">
        <v>242</v>
      </c>
      <c r="F75" s="17">
        <v>9.448856881E9</v>
      </c>
      <c r="G75" s="17"/>
      <c r="H75" s="17"/>
      <c r="I75" s="17" t="s">
        <v>243</v>
      </c>
      <c r="J75" s="17" t="s">
        <v>130</v>
      </c>
      <c r="K75" s="16" t="s">
        <v>77</v>
      </c>
      <c r="L75" s="17">
        <v>1.8</v>
      </c>
      <c r="M75" s="16" t="s">
        <v>16</v>
      </c>
      <c r="N75" s="19">
        <v>30.0</v>
      </c>
      <c r="O75" s="17">
        <v>2400.0</v>
      </c>
      <c r="P75" s="21"/>
      <c r="Q75" s="18"/>
      <c r="R75" s="16" t="s">
        <v>15</v>
      </c>
      <c r="S75" s="14">
        <f t="shared" si="2"/>
        <v>46039</v>
      </c>
      <c r="T75" s="8"/>
      <c r="U75" s="8"/>
      <c r="V75" s="8"/>
      <c r="W75" s="8"/>
      <c r="X75" s="8"/>
      <c r="Y75" s="8"/>
      <c r="Z75" s="8"/>
    </row>
    <row r="76" ht="22.5" customHeight="1">
      <c r="A76" s="9" t="str">
        <f t="shared" si="1"/>
        <v>LEA-0075</v>
      </c>
      <c r="B76" s="20">
        <v>45994.0</v>
      </c>
      <c r="C76" s="16" t="s">
        <v>39</v>
      </c>
      <c r="D76" s="16" t="s">
        <v>62</v>
      </c>
      <c r="E76" s="17" t="s">
        <v>244</v>
      </c>
      <c r="F76" s="17">
        <v>9.900203295E9</v>
      </c>
      <c r="G76" s="17"/>
      <c r="H76" s="17"/>
      <c r="I76" s="17" t="s">
        <v>245</v>
      </c>
      <c r="J76" s="17" t="s">
        <v>130</v>
      </c>
      <c r="K76" s="16" t="s">
        <v>77</v>
      </c>
      <c r="L76" s="17">
        <v>10.0</v>
      </c>
      <c r="M76" s="16" t="s">
        <v>16</v>
      </c>
      <c r="N76" s="19">
        <v>15.0</v>
      </c>
      <c r="O76" s="17">
        <v>6000.0</v>
      </c>
      <c r="P76" s="21"/>
      <c r="Q76" s="18"/>
      <c r="R76" s="16" t="s">
        <v>15</v>
      </c>
      <c r="S76" s="14">
        <f t="shared" si="2"/>
        <v>46039</v>
      </c>
      <c r="T76" s="8"/>
      <c r="U76" s="8"/>
      <c r="V76" s="8"/>
      <c r="W76" s="8"/>
      <c r="X76" s="8"/>
      <c r="Y76" s="8"/>
      <c r="Z76" s="8"/>
    </row>
    <row r="77" ht="22.5" customHeight="1">
      <c r="A77" s="9" t="str">
        <f t="shared" si="1"/>
        <v>LEA-0076</v>
      </c>
      <c r="B77" s="20">
        <v>45994.0</v>
      </c>
      <c r="C77" s="16" t="s">
        <v>39</v>
      </c>
      <c r="D77" s="16" t="s">
        <v>62</v>
      </c>
      <c r="E77" s="17" t="s">
        <v>246</v>
      </c>
      <c r="F77" s="17">
        <v>8.277175272E9</v>
      </c>
      <c r="G77" s="17"/>
      <c r="H77" s="17"/>
      <c r="I77" s="17" t="s">
        <v>243</v>
      </c>
      <c r="J77" s="17" t="s">
        <v>130</v>
      </c>
      <c r="K77" s="16" t="s">
        <v>77</v>
      </c>
      <c r="L77" s="17">
        <v>3.3</v>
      </c>
      <c r="M77" s="16" t="s">
        <v>16</v>
      </c>
      <c r="N77" s="19">
        <v>8.0</v>
      </c>
      <c r="O77" s="17">
        <v>2000.0</v>
      </c>
      <c r="P77" s="21"/>
      <c r="Q77" s="18"/>
      <c r="R77" s="16" t="s">
        <v>15</v>
      </c>
      <c r="S77" s="14">
        <f t="shared" si="2"/>
        <v>46039</v>
      </c>
      <c r="T77" s="8"/>
      <c r="U77" s="8"/>
      <c r="V77" s="8"/>
      <c r="W77" s="8"/>
      <c r="X77" s="8"/>
      <c r="Y77" s="8"/>
      <c r="Z77" s="8"/>
    </row>
    <row r="78" ht="22.5" customHeight="1">
      <c r="A78" s="9" t="str">
        <f t="shared" si="1"/>
        <v>LEA-0077</v>
      </c>
      <c r="B78" s="20">
        <v>45994.0</v>
      </c>
      <c r="C78" s="16" t="s">
        <v>39</v>
      </c>
      <c r="D78" s="16" t="s">
        <v>62</v>
      </c>
      <c r="E78" s="17" t="s">
        <v>247</v>
      </c>
      <c r="F78" s="17">
        <v>9.449236333E9</v>
      </c>
      <c r="G78" s="17"/>
      <c r="H78" s="17"/>
      <c r="I78" s="17" t="s">
        <v>248</v>
      </c>
      <c r="J78" s="17" t="s">
        <v>130</v>
      </c>
      <c r="K78" s="16" t="s">
        <v>77</v>
      </c>
      <c r="L78" s="17">
        <v>4.1</v>
      </c>
      <c r="M78" s="16" t="s">
        <v>16</v>
      </c>
      <c r="N78" s="19">
        <v>8.0</v>
      </c>
      <c r="O78" s="17">
        <v>2500.0</v>
      </c>
      <c r="P78" s="21"/>
      <c r="Q78" s="18"/>
      <c r="R78" s="16" t="s">
        <v>15</v>
      </c>
      <c r="S78" s="14">
        <f t="shared" si="2"/>
        <v>46039</v>
      </c>
      <c r="T78" s="8"/>
      <c r="U78" s="8"/>
      <c r="V78" s="8"/>
      <c r="W78" s="8"/>
      <c r="X78" s="8"/>
      <c r="Y78" s="8"/>
      <c r="Z78" s="8"/>
    </row>
    <row r="79" ht="22.5" customHeight="1">
      <c r="A79" s="9" t="str">
        <f t="shared" si="1"/>
        <v>LEA-0078</v>
      </c>
      <c r="B79" s="20">
        <v>45994.0</v>
      </c>
      <c r="C79" s="16" t="s">
        <v>39</v>
      </c>
      <c r="D79" s="16" t="s">
        <v>62</v>
      </c>
      <c r="E79" s="17" t="s">
        <v>249</v>
      </c>
      <c r="F79" s="17">
        <v>9.008816572E9</v>
      </c>
      <c r="G79" s="17"/>
      <c r="H79" s="17"/>
      <c r="I79" s="17" t="s">
        <v>250</v>
      </c>
      <c r="J79" s="17" t="s">
        <v>251</v>
      </c>
      <c r="K79" s="16" t="s">
        <v>77</v>
      </c>
      <c r="L79" s="17">
        <v>8.0</v>
      </c>
      <c r="M79" s="16" t="s">
        <v>16</v>
      </c>
      <c r="N79" s="19">
        <v>25.0</v>
      </c>
      <c r="O79" s="17">
        <v>4800.0</v>
      </c>
      <c r="P79" s="21"/>
      <c r="Q79" s="18"/>
      <c r="R79" s="16" t="s">
        <v>15</v>
      </c>
      <c r="S79" s="14">
        <f t="shared" si="2"/>
        <v>46039</v>
      </c>
      <c r="T79" s="8"/>
      <c r="U79" s="8"/>
      <c r="V79" s="8"/>
      <c r="W79" s="8"/>
      <c r="X79" s="8"/>
      <c r="Y79" s="8"/>
      <c r="Z79" s="8"/>
    </row>
    <row r="80" ht="22.5" customHeight="1">
      <c r="A80" s="9" t="str">
        <f t="shared" si="1"/>
        <v>LEA-0079</v>
      </c>
      <c r="B80" s="20">
        <v>45994.0</v>
      </c>
      <c r="C80" s="16" t="s">
        <v>39</v>
      </c>
      <c r="D80" s="16" t="s">
        <v>62</v>
      </c>
      <c r="E80" s="17" t="s">
        <v>252</v>
      </c>
      <c r="F80" s="17">
        <v>8.548906806E9</v>
      </c>
      <c r="G80" s="17"/>
      <c r="H80" s="17"/>
      <c r="I80" s="17" t="s">
        <v>250</v>
      </c>
      <c r="J80" s="17" t="s">
        <v>251</v>
      </c>
      <c r="K80" s="16" t="s">
        <v>77</v>
      </c>
      <c r="L80" s="17">
        <v>4.0</v>
      </c>
      <c r="M80" s="16" t="s">
        <v>16</v>
      </c>
      <c r="N80" s="19">
        <v>7.0</v>
      </c>
      <c r="O80" s="17">
        <v>2400.0</v>
      </c>
      <c r="P80" s="21"/>
      <c r="Q80" s="18"/>
      <c r="R80" s="16" t="s">
        <v>15</v>
      </c>
      <c r="S80" s="14">
        <f t="shared" si="2"/>
        <v>46039</v>
      </c>
      <c r="T80" s="8"/>
      <c r="U80" s="8"/>
      <c r="V80" s="8"/>
      <c r="W80" s="8"/>
      <c r="X80" s="8"/>
      <c r="Y80" s="8"/>
      <c r="Z80" s="8"/>
    </row>
    <row r="81" ht="22.5" customHeight="1">
      <c r="A81" s="9" t="str">
        <f t="shared" si="1"/>
        <v>LEA-0080</v>
      </c>
      <c r="B81" s="20">
        <v>45994.0</v>
      </c>
      <c r="C81" s="16" t="s">
        <v>39</v>
      </c>
      <c r="D81" s="16" t="s">
        <v>62</v>
      </c>
      <c r="E81" s="17" t="s">
        <v>193</v>
      </c>
      <c r="F81" s="17">
        <v>6.361743799E9</v>
      </c>
      <c r="G81" s="17"/>
      <c r="H81" s="17"/>
      <c r="I81" s="17" t="s">
        <v>250</v>
      </c>
      <c r="J81" s="17" t="s">
        <v>251</v>
      </c>
      <c r="K81" s="16" t="s">
        <v>77</v>
      </c>
      <c r="L81" s="17">
        <v>3.0</v>
      </c>
      <c r="M81" s="16" t="s">
        <v>16</v>
      </c>
      <c r="N81" s="19">
        <v>35.0</v>
      </c>
      <c r="O81" s="17">
        <v>1800.0</v>
      </c>
      <c r="P81" s="21"/>
      <c r="Q81" s="18"/>
      <c r="R81" s="16" t="s">
        <v>15</v>
      </c>
      <c r="S81" s="14">
        <f t="shared" si="2"/>
        <v>46039</v>
      </c>
      <c r="T81" s="8"/>
      <c r="U81" s="8"/>
      <c r="V81" s="8"/>
      <c r="W81" s="8"/>
      <c r="X81" s="8"/>
      <c r="Y81" s="8"/>
      <c r="Z81" s="8"/>
    </row>
    <row r="82" ht="22.5" customHeight="1">
      <c r="A82" s="9" t="str">
        <f t="shared" si="1"/>
        <v>LEA-0081</v>
      </c>
      <c r="B82" s="20">
        <v>45994.0</v>
      </c>
      <c r="C82" s="16" t="s">
        <v>39</v>
      </c>
      <c r="D82" s="16" t="s">
        <v>62</v>
      </c>
      <c r="E82" s="17" t="s">
        <v>253</v>
      </c>
      <c r="F82" s="17">
        <v>9.113238134E9</v>
      </c>
      <c r="G82" s="17"/>
      <c r="H82" s="17"/>
      <c r="I82" s="17" t="s">
        <v>250</v>
      </c>
      <c r="J82" s="17" t="s">
        <v>251</v>
      </c>
      <c r="K82" s="16" t="s">
        <v>77</v>
      </c>
      <c r="L82" s="17">
        <v>2.0</v>
      </c>
      <c r="M82" s="16" t="s">
        <v>16</v>
      </c>
      <c r="N82" s="19">
        <v>6.0</v>
      </c>
      <c r="O82" s="17">
        <v>1200.0</v>
      </c>
      <c r="P82" s="21"/>
      <c r="Q82" s="18"/>
      <c r="R82" s="16" t="s">
        <v>15</v>
      </c>
      <c r="S82" s="14">
        <f t="shared" si="2"/>
        <v>46039</v>
      </c>
      <c r="T82" s="8"/>
      <c r="U82" s="8"/>
      <c r="V82" s="8"/>
      <c r="W82" s="8"/>
      <c r="X82" s="8"/>
      <c r="Y82" s="8"/>
      <c r="Z82" s="8"/>
    </row>
    <row r="83" ht="22.5" customHeight="1">
      <c r="A83" s="9" t="str">
        <f t="shared" si="1"/>
        <v>LEA-0082</v>
      </c>
      <c r="B83" s="20">
        <v>45994.0</v>
      </c>
      <c r="C83" s="16" t="s">
        <v>39</v>
      </c>
      <c r="D83" s="16" t="s">
        <v>62</v>
      </c>
      <c r="E83" s="17" t="s">
        <v>254</v>
      </c>
      <c r="F83" s="17">
        <v>8.197126174E9</v>
      </c>
      <c r="G83" s="17"/>
      <c r="H83" s="17"/>
      <c r="I83" s="17" t="s">
        <v>250</v>
      </c>
      <c r="J83" s="17" t="s">
        <v>251</v>
      </c>
      <c r="K83" s="16" t="s">
        <v>77</v>
      </c>
      <c r="L83" s="17">
        <v>3.0</v>
      </c>
      <c r="M83" s="16" t="s">
        <v>16</v>
      </c>
      <c r="N83" s="19">
        <v>6.0</v>
      </c>
      <c r="O83" s="17">
        <v>1800.0</v>
      </c>
      <c r="P83" s="21"/>
      <c r="Q83" s="18"/>
      <c r="R83" s="16" t="s">
        <v>15</v>
      </c>
      <c r="S83" s="14">
        <f t="shared" si="2"/>
        <v>46039</v>
      </c>
      <c r="T83" s="8"/>
      <c r="U83" s="8"/>
      <c r="V83" s="8"/>
      <c r="W83" s="8"/>
      <c r="X83" s="8"/>
      <c r="Y83" s="8"/>
      <c r="Z83" s="8"/>
    </row>
    <row r="84" ht="22.5" customHeight="1">
      <c r="A84" s="9" t="str">
        <f t="shared" si="1"/>
        <v>LEA-0083</v>
      </c>
      <c r="B84" s="20">
        <v>45994.0</v>
      </c>
      <c r="C84" s="16" t="s">
        <v>39</v>
      </c>
      <c r="D84" s="16" t="s">
        <v>62</v>
      </c>
      <c r="E84" s="17" t="s">
        <v>255</v>
      </c>
      <c r="F84" s="17">
        <v>7.353099409E9</v>
      </c>
      <c r="G84" s="17"/>
      <c r="H84" s="17"/>
      <c r="I84" s="17" t="s">
        <v>250</v>
      </c>
      <c r="J84" s="17" t="s">
        <v>251</v>
      </c>
      <c r="K84" s="16" t="s">
        <v>77</v>
      </c>
      <c r="L84" s="17">
        <v>2.3</v>
      </c>
      <c r="M84" s="16" t="s">
        <v>16</v>
      </c>
      <c r="N84" s="19">
        <v>25.0</v>
      </c>
      <c r="O84" s="17">
        <v>1400.0</v>
      </c>
      <c r="P84" s="21"/>
      <c r="Q84" s="18"/>
      <c r="R84" s="16" t="s">
        <v>15</v>
      </c>
      <c r="S84" s="14">
        <f t="shared" si="2"/>
        <v>46039</v>
      </c>
      <c r="T84" s="8"/>
      <c r="U84" s="8"/>
      <c r="V84" s="8"/>
      <c r="W84" s="8"/>
      <c r="X84" s="8"/>
      <c r="Y84" s="8"/>
      <c r="Z84" s="8"/>
    </row>
    <row r="85" ht="22.5" customHeight="1">
      <c r="A85" s="9" t="str">
        <f t="shared" si="1"/>
        <v>LEA-0084</v>
      </c>
      <c r="B85" s="20">
        <v>45994.0</v>
      </c>
      <c r="C85" s="16" t="s">
        <v>39</v>
      </c>
      <c r="D85" s="16" t="s">
        <v>62</v>
      </c>
      <c r="E85" s="17" t="s">
        <v>256</v>
      </c>
      <c r="F85" s="17">
        <v>8.105323343E9</v>
      </c>
      <c r="G85" s="17"/>
      <c r="H85" s="17"/>
      <c r="I85" s="17" t="s">
        <v>250</v>
      </c>
      <c r="J85" s="17" t="s">
        <v>251</v>
      </c>
      <c r="K85" s="16" t="s">
        <v>77</v>
      </c>
      <c r="L85" s="17">
        <v>1.0</v>
      </c>
      <c r="M85" s="16" t="s">
        <v>16</v>
      </c>
      <c r="N85" s="19">
        <v>15.0</v>
      </c>
      <c r="O85" s="17">
        <v>640.0</v>
      </c>
      <c r="P85" s="21"/>
      <c r="Q85" s="18"/>
      <c r="R85" s="16" t="s">
        <v>15</v>
      </c>
      <c r="S85" s="14">
        <f t="shared" si="2"/>
        <v>46039</v>
      </c>
      <c r="T85" s="8"/>
      <c r="U85" s="8"/>
      <c r="V85" s="8"/>
      <c r="W85" s="8"/>
      <c r="X85" s="8"/>
      <c r="Y85" s="8"/>
      <c r="Z85" s="8"/>
    </row>
    <row r="86" ht="22.5" customHeight="1">
      <c r="A86" s="9" t="str">
        <f t="shared" si="1"/>
        <v>LEA-0085</v>
      </c>
      <c r="B86" s="20">
        <v>45995.0</v>
      </c>
      <c r="C86" s="16" t="s">
        <v>63</v>
      </c>
      <c r="D86" s="16" t="s">
        <v>55</v>
      </c>
      <c r="E86" s="17" t="s">
        <v>257</v>
      </c>
      <c r="F86" s="17">
        <v>9.66353843E9</v>
      </c>
      <c r="G86" s="17"/>
      <c r="H86" s="17"/>
      <c r="I86" s="17" t="s">
        <v>258</v>
      </c>
      <c r="J86" s="17" t="s">
        <v>259</v>
      </c>
      <c r="K86" s="16" t="s">
        <v>61</v>
      </c>
      <c r="L86" s="17">
        <v>1.5</v>
      </c>
      <c r="M86" s="16" t="s">
        <v>16</v>
      </c>
      <c r="N86" s="19">
        <v>12.0</v>
      </c>
      <c r="O86" s="17">
        <v>750.0</v>
      </c>
      <c r="P86" s="21"/>
      <c r="Q86" s="18"/>
      <c r="R86" s="16" t="s">
        <v>15</v>
      </c>
      <c r="S86" s="14">
        <f t="shared" si="2"/>
        <v>46039</v>
      </c>
      <c r="T86" s="8"/>
      <c r="U86" s="8"/>
      <c r="V86" s="8"/>
      <c r="W86" s="8"/>
      <c r="X86" s="8"/>
      <c r="Y86" s="8"/>
      <c r="Z86" s="8"/>
    </row>
    <row r="87" ht="22.5" customHeight="1">
      <c r="A87" s="9" t="str">
        <f t="shared" si="1"/>
        <v>LEA-0086</v>
      </c>
      <c r="B87" s="20">
        <v>45995.0</v>
      </c>
      <c r="C87" s="16"/>
      <c r="D87" s="16"/>
      <c r="E87" s="17" t="s">
        <v>260</v>
      </c>
      <c r="F87" s="17">
        <v>8.29695273E8</v>
      </c>
      <c r="G87" s="17"/>
      <c r="H87" s="17"/>
      <c r="I87" s="17" t="s">
        <v>261</v>
      </c>
      <c r="J87" s="17" t="s">
        <v>262</v>
      </c>
      <c r="K87" s="16" t="s">
        <v>102</v>
      </c>
      <c r="L87" s="17">
        <v>3.0</v>
      </c>
      <c r="M87" s="16" t="s">
        <v>16</v>
      </c>
      <c r="N87" s="19">
        <v>40.0</v>
      </c>
      <c r="O87" s="17">
        <v>3500.0</v>
      </c>
      <c r="P87" s="21"/>
      <c r="Q87" s="18"/>
      <c r="R87" s="16" t="s">
        <v>15</v>
      </c>
      <c r="S87" s="14">
        <f t="shared" si="2"/>
        <v>46039</v>
      </c>
      <c r="T87" s="8"/>
      <c r="U87" s="8"/>
      <c r="V87" s="8"/>
      <c r="W87" s="8"/>
      <c r="X87" s="8"/>
      <c r="Y87" s="8"/>
      <c r="Z87" s="8"/>
    </row>
    <row r="88" ht="22.5" customHeight="1">
      <c r="A88" s="9" t="str">
        <f t="shared" si="1"/>
        <v>LEA-0087</v>
      </c>
      <c r="B88" s="20">
        <v>45994.0</v>
      </c>
      <c r="C88" s="16" t="s">
        <v>25</v>
      </c>
      <c r="D88" s="16" t="s">
        <v>69</v>
      </c>
      <c r="E88" s="17" t="s">
        <v>263</v>
      </c>
      <c r="F88" s="17">
        <v>7.760551112E9</v>
      </c>
      <c r="G88" s="17">
        <v>8.884067878E9</v>
      </c>
      <c r="H88" s="17"/>
      <c r="I88" s="17" t="s">
        <v>264</v>
      </c>
      <c r="J88" s="17" t="s">
        <v>265</v>
      </c>
      <c r="K88" s="16" t="s">
        <v>101</v>
      </c>
      <c r="L88" s="17">
        <v>10.0</v>
      </c>
      <c r="M88" s="16" t="s">
        <v>16</v>
      </c>
      <c r="N88" s="19">
        <v>13.0</v>
      </c>
      <c r="O88" s="17">
        <v>5000.0</v>
      </c>
      <c r="P88" s="21"/>
      <c r="Q88" s="18"/>
      <c r="R88" s="16" t="s">
        <v>15</v>
      </c>
      <c r="S88" s="14">
        <f t="shared" si="2"/>
        <v>46039</v>
      </c>
      <c r="T88" s="8"/>
      <c r="U88" s="8"/>
      <c r="V88" s="8"/>
      <c r="W88" s="8"/>
      <c r="X88" s="8"/>
      <c r="Y88" s="8"/>
      <c r="Z88" s="8"/>
    </row>
    <row r="89" ht="22.5" customHeight="1">
      <c r="A89" s="9" t="str">
        <f t="shared" si="1"/>
        <v>LEA-0088</v>
      </c>
      <c r="B89" s="20">
        <v>45994.0</v>
      </c>
      <c r="C89" s="16" t="s">
        <v>25</v>
      </c>
      <c r="D89" s="16" t="s">
        <v>69</v>
      </c>
      <c r="E89" s="17" t="s">
        <v>266</v>
      </c>
      <c r="F89" s="17">
        <v>8.183894646E9</v>
      </c>
      <c r="G89" s="17"/>
      <c r="H89" s="17"/>
      <c r="I89" s="17" t="s">
        <v>267</v>
      </c>
      <c r="J89" s="17" t="s">
        <v>268</v>
      </c>
      <c r="K89" s="16" t="s">
        <v>46</v>
      </c>
      <c r="L89" s="17">
        <v>10.0</v>
      </c>
      <c r="M89" s="16" t="s">
        <v>16</v>
      </c>
      <c r="N89" s="19">
        <v>12.0</v>
      </c>
      <c r="O89" s="17">
        <v>5000.0</v>
      </c>
      <c r="P89" s="21"/>
      <c r="Q89" s="18"/>
      <c r="R89" s="16" t="s">
        <v>15</v>
      </c>
      <c r="S89" s="14">
        <f t="shared" si="2"/>
        <v>46039</v>
      </c>
      <c r="T89" s="8"/>
      <c r="U89" s="8"/>
      <c r="V89" s="8"/>
      <c r="W89" s="8"/>
      <c r="X89" s="8"/>
      <c r="Y89" s="8"/>
      <c r="Z89" s="8"/>
    </row>
    <row r="90" ht="22.5" customHeight="1">
      <c r="A90" s="9" t="str">
        <f t="shared" si="1"/>
        <v>LEA-0089</v>
      </c>
      <c r="B90" s="20">
        <v>45996.0</v>
      </c>
      <c r="C90" s="16" t="s">
        <v>63</v>
      </c>
      <c r="D90" s="16" t="s">
        <v>55</v>
      </c>
      <c r="E90" s="17" t="s">
        <v>260</v>
      </c>
      <c r="F90" s="17">
        <v>8.296952703E9</v>
      </c>
      <c r="G90" s="17"/>
      <c r="H90" s="17"/>
      <c r="I90" s="17" t="s">
        <v>269</v>
      </c>
      <c r="J90" s="17" t="s">
        <v>270</v>
      </c>
      <c r="K90" s="16" t="s">
        <v>102</v>
      </c>
      <c r="L90" s="17">
        <v>5.0</v>
      </c>
      <c r="M90" s="16" t="s">
        <v>16</v>
      </c>
      <c r="N90" s="19">
        <v>40.0</v>
      </c>
      <c r="O90" s="17">
        <v>3500.0</v>
      </c>
      <c r="P90" s="21"/>
      <c r="Q90" s="18"/>
      <c r="R90" s="16" t="s">
        <v>15</v>
      </c>
      <c r="S90" s="14">
        <f t="shared" si="2"/>
        <v>46039</v>
      </c>
      <c r="T90" s="8"/>
      <c r="U90" s="8"/>
      <c r="V90" s="8"/>
      <c r="W90" s="8"/>
      <c r="X90" s="8"/>
      <c r="Y90" s="8"/>
      <c r="Z90" s="8"/>
    </row>
    <row r="91" ht="22.5" customHeight="1">
      <c r="A91" s="9" t="str">
        <f t="shared" si="1"/>
        <v>LEA-0090</v>
      </c>
      <c r="B91" s="20">
        <v>45996.0</v>
      </c>
      <c r="C91" s="16" t="s">
        <v>39</v>
      </c>
      <c r="D91" s="16" t="s">
        <v>62</v>
      </c>
      <c r="E91" s="17" t="s">
        <v>271</v>
      </c>
      <c r="F91" s="17">
        <v>9.741111001E9</v>
      </c>
      <c r="G91" s="17"/>
      <c r="H91" s="17"/>
      <c r="I91" s="17" t="s">
        <v>272</v>
      </c>
      <c r="J91" s="17" t="s">
        <v>152</v>
      </c>
      <c r="K91" s="16" t="s">
        <v>77</v>
      </c>
      <c r="L91" s="17">
        <v>1.5</v>
      </c>
      <c r="M91" s="16" t="s">
        <v>16</v>
      </c>
      <c r="N91" s="19">
        <v>3.0</v>
      </c>
      <c r="O91" s="17">
        <v>850.0</v>
      </c>
      <c r="P91" s="21"/>
      <c r="Q91" s="18"/>
      <c r="R91" s="16" t="s">
        <v>15</v>
      </c>
      <c r="S91" s="14">
        <f t="shared" si="2"/>
        <v>46039</v>
      </c>
      <c r="T91" s="8"/>
      <c r="U91" s="8"/>
      <c r="V91" s="8"/>
      <c r="W91" s="8"/>
      <c r="X91" s="8"/>
      <c r="Y91" s="8"/>
      <c r="Z91" s="8"/>
    </row>
    <row r="92" ht="22.5" customHeight="1">
      <c r="A92" s="9" t="str">
        <f t="shared" si="1"/>
        <v>LEA-0091</v>
      </c>
      <c r="B92" s="20">
        <v>45996.0</v>
      </c>
      <c r="C92" s="16"/>
      <c r="D92" s="16"/>
      <c r="E92" s="17" t="s">
        <v>273</v>
      </c>
      <c r="F92" s="17">
        <v>9.008472515E9</v>
      </c>
      <c r="G92" s="17"/>
      <c r="H92" s="17"/>
      <c r="I92" s="17" t="s">
        <v>274</v>
      </c>
      <c r="J92" s="17" t="s">
        <v>275</v>
      </c>
      <c r="K92" s="16" t="s">
        <v>68</v>
      </c>
      <c r="L92" s="17"/>
      <c r="M92" s="16"/>
      <c r="N92" s="19"/>
      <c r="O92" s="17"/>
      <c r="P92" s="21"/>
      <c r="Q92" s="18"/>
      <c r="R92" s="16"/>
      <c r="S92" s="14">
        <f t="shared" si="2"/>
        <v>46039</v>
      </c>
      <c r="T92" s="8"/>
      <c r="U92" s="8"/>
      <c r="V92" s="8"/>
      <c r="W92" s="8"/>
      <c r="X92" s="8"/>
      <c r="Y92" s="8"/>
      <c r="Z92" s="8"/>
    </row>
    <row r="93" ht="22.5" customHeight="1">
      <c r="A93" s="9" t="str">
        <f t="shared" si="1"/>
        <v>LEA-0092</v>
      </c>
      <c r="B93" s="20">
        <v>45996.0</v>
      </c>
      <c r="C93" s="16" t="s">
        <v>25</v>
      </c>
      <c r="D93" s="16" t="s">
        <v>47</v>
      </c>
      <c r="E93" s="17" t="s">
        <v>276</v>
      </c>
      <c r="F93" s="17">
        <v>9.44939025E8</v>
      </c>
      <c r="G93" s="17"/>
      <c r="H93" s="17"/>
      <c r="I93" s="17" t="s">
        <v>119</v>
      </c>
      <c r="J93" s="17" t="s">
        <v>152</v>
      </c>
      <c r="K93" s="16" t="s">
        <v>77</v>
      </c>
      <c r="L93" s="17">
        <v>6.0</v>
      </c>
      <c r="M93" s="16" t="s">
        <v>16</v>
      </c>
      <c r="N93" s="19">
        <v>25.0</v>
      </c>
      <c r="O93" s="17">
        <v>3400.0</v>
      </c>
      <c r="P93" s="16" t="s">
        <v>31</v>
      </c>
      <c r="Q93" s="18"/>
      <c r="R93" s="16" t="s">
        <v>15</v>
      </c>
      <c r="S93" s="14">
        <f t="shared" si="2"/>
        <v>46039</v>
      </c>
      <c r="T93" s="8"/>
      <c r="U93" s="8"/>
      <c r="V93" s="8"/>
      <c r="W93" s="8"/>
      <c r="X93" s="8"/>
      <c r="Y93" s="8"/>
      <c r="Z93" s="8"/>
    </row>
    <row r="94" ht="22.5" customHeight="1">
      <c r="A94" s="9" t="str">
        <f t="shared" si="1"/>
        <v>LEA-0093</v>
      </c>
      <c r="B94" s="20">
        <v>45996.0</v>
      </c>
      <c r="C94" s="16" t="s">
        <v>39</v>
      </c>
      <c r="D94" s="16" t="s">
        <v>62</v>
      </c>
      <c r="E94" s="17" t="s">
        <v>277</v>
      </c>
      <c r="F94" s="17">
        <v>7.019118298E9</v>
      </c>
      <c r="G94" s="17"/>
      <c r="H94" s="17"/>
      <c r="I94" s="17" t="s">
        <v>278</v>
      </c>
      <c r="J94" s="17" t="s">
        <v>152</v>
      </c>
      <c r="K94" s="16" t="s">
        <v>77</v>
      </c>
      <c r="L94" s="17">
        <v>3.0</v>
      </c>
      <c r="M94" s="16" t="s">
        <v>16</v>
      </c>
      <c r="N94" s="19">
        <v>20.0</v>
      </c>
      <c r="O94" s="17">
        <v>1600.0</v>
      </c>
      <c r="P94" s="16" t="s">
        <v>31</v>
      </c>
      <c r="Q94" s="18"/>
      <c r="R94" s="16" t="s">
        <v>15</v>
      </c>
      <c r="S94" s="14">
        <f t="shared" si="2"/>
        <v>46039</v>
      </c>
      <c r="T94" s="8"/>
      <c r="U94" s="8"/>
      <c r="V94" s="8"/>
      <c r="W94" s="8"/>
      <c r="X94" s="8"/>
      <c r="Y94" s="8"/>
      <c r="Z94" s="8"/>
    </row>
    <row r="95" ht="22.5" customHeight="1">
      <c r="A95" s="9" t="str">
        <f t="shared" si="1"/>
        <v>LEA-0094</v>
      </c>
      <c r="B95" s="20">
        <v>45992.0</v>
      </c>
      <c r="C95" s="16" t="s">
        <v>39</v>
      </c>
      <c r="D95" s="16" t="s">
        <v>62</v>
      </c>
      <c r="E95" s="17" t="s">
        <v>240</v>
      </c>
      <c r="F95" s="17">
        <v>9.886218675E9</v>
      </c>
      <c r="G95" s="17"/>
      <c r="H95" s="17"/>
      <c r="I95" s="17" t="s">
        <v>279</v>
      </c>
      <c r="J95" s="17" t="s">
        <v>130</v>
      </c>
      <c r="K95" s="16" t="s">
        <v>77</v>
      </c>
      <c r="L95" s="17">
        <v>6.0</v>
      </c>
      <c r="M95" s="16" t="s">
        <v>16</v>
      </c>
      <c r="N95" s="19">
        <v>8.0</v>
      </c>
      <c r="O95" s="17">
        <v>3000.0</v>
      </c>
      <c r="P95" s="16"/>
      <c r="Q95" s="18"/>
      <c r="R95" s="16" t="s">
        <v>15</v>
      </c>
      <c r="S95" s="14">
        <f t="shared" si="2"/>
        <v>46039</v>
      </c>
      <c r="T95" s="8"/>
      <c r="U95" s="8"/>
      <c r="V95" s="8"/>
      <c r="W95" s="8"/>
      <c r="X95" s="8"/>
      <c r="Y95" s="8"/>
      <c r="Z95" s="8"/>
    </row>
    <row r="96" ht="22.5" customHeight="1">
      <c r="A96" s="9" t="str">
        <f t="shared" si="1"/>
        <v>LEA-0095</v>
      </c>
      <c r="B96" s="20">
        <v>45992.0</v>
      </c>
      <c r="C96" s="16" t="s">
        <v>39</v>
      </c>
      <c r="D96" s="16" t="s">
        <v>62</v>
      </c>
      <c r="E96" s="17" t="s">
        <v>242</v>
      </c>
      <c r="F96" s="17">
        <v>9.448856881E9</v>
      </c>
      <c r="G96" s="17"/>
      <c r="H96" s="17"/>
      <c r="I96" s="17" t="s">
        <v>280</v>
      </c>
      <c r="J96" s="17" t="s">
        <v>130</v>
      </c>
      <c r="K96" s="16" t="s">
        <v>77</v>
      </c>
      <c r="L96" s="17">
        <v>2.0</v>
      </c>
      <c r="M96" s="16" t="s">
        <v>16</v>
      </c>
      <c r="N96" s="19">
        <v>30.0</v>
      </c>
      <c r="O96" s="17">
        <v>1100.0</v>
      </c>
      <c r="P96" s="16"/>
      <c r="Q96" s="18"/>
      <c r="R96" s="16" t="s">
        <v>15</v>
      </c>
      <c r="S96" s="14">
        <f t="shared" si="2"/>
        <v>46039</v>
      </c>
      <c r="T96" s="8"/>
      <c r="U96" s="8"/>
      <c r="V96" s="8"/>
      <c r="W96" s="8"/>
      <c r="X96" s="8"/>
      <c r="Y96" s="8"/>
      <c r="Z96" s="8"/>
    </row>
    <row r="97" ht="22.5" customHeight="1">
      <c r="A97" s="9" t="str">
        <f t="shared" si="1"/>
        <v>LEA-0096</v>
      </c>
      <c r="B97" s="20">
        <v>45992.0</v>
      </c>
      <c r="C97" s="16" t="s">
        <v>39</v>
      </c>
      <c r="D97" s="16" t="s">
        <v>62</v>
      </c>
      <c r="E97" s="17" t="s">
        <v>244</v>
      </c>
      <c r="F97" s="17">
        <v>9.900203295E9</v>
      </c>
      <c r="G97" s="17"/>
      <c r="H97" s="17"/>
      <c r="I97" s="17" t="s">
        <v>245</v>
      </c>
      <c r="J97" s="17" t="s">
        <v>130</v>
      </c>
      <c r="K97" s="16" t="s">
        <v>77</v>
      </c>
      <c r="L97" s="17">
        <v>10.0</v>
      </c>
      <c r="M97" s="16" t="s">
        <v>16</v>
      </c>
      <c r="N97" s="19">
        <v>15.0</v>
      </c>
      <c r="O97" s="17">
        <v>6000.0</v>
      </c>
      <c r="P97" s="16"/>
      <c r="Q97" s="18"/>
      <c r="R97" s="16" t="s">
        <v>15</v>
      </c>
      <c r="S97" s="14">
        <f t="shared" si="2"/>
        <v>46039</v>
      </c>
      <c r="T97" s="8"/>
      <c r="U97" s="8"/>
      <c r="V97" s="8"/>
      <c r="W97" s="8"/>
      <c r="X97" s="8"/>
      <c r="Y97" s="8"/>
      <c r="Z97" s="8"/>
    </row>
    <row r="98" ht="22.5" customHeight="1">
      <c r="A98" s="9" t="str">
        <f t="shared" si="1"/>
        <v>LEA-0097</v>
      </c>
      <c r="B98" s="20">
        <v>45992.0</v>
      </c>
      <c r="C98" s="16" t="s">
        <v>39</v>
      </c>
      <c r="D98" s="16" t="s">
        <v>62</v>
      </c>
      <c r="E98" s="17" t="s">
        <v>246</v>
      </c>
      <c r="F98" s="17">
        <v>8.277175272E9</v>
      </c>
      <c r="G98" s="17"/>
      <c r="H98" s="17"/>
      <c r="I98" s="17" t="s">
        <v>280</v>
      </c>
      <c r="J98" s="17" t="s">
        <v>130</v>
      </c>
      <c r="K98" s="16" t="s">
        <v>77</v>
      </c>
      <c r="L98" s="17">
        <v>3.0</v>
      </c>
      <c r="M98" s="16" t="s">
        <v>16</v>
      </c>
      <c r="N98" s="19">
        <v>8.0</v>
      </c>
      <c r="O98" s="17">
        <v>2000.0</v>
      </c>
      <c r="P98" s="16"/>
      <c r="Q98" s="18"/>
      <c r="R98" s="16" t="s">
        <v>15</v>
      </c>
      <c r="S98" s="14">
        <f t="shared" si="2"/>
        <v>46039</v>
      </c>
      <c r="T98" s="8"/>
      <c r="U98" s="8"/>
      <c r="V98" s="8"/>
      <c r="W98" s="8"/>
      <c r="X98" s="8"/>
      <c r="Y98" s="8"/>
      <c r="Z98" s="8"/>
    </row>
    <row r="99" ht="22.5" customHeight="1">
      <c r="A99" s="9" t="str">
        <f t="shared" si="1"/>
        <v>LEA-0098</v>
      </c>
      <c r="B99" s="20">
        <v>45992.0</v>
      </c>
      <c r="C99" s="16" t="s">
        <v>39</v>
      </c>
      <c r="D99" s="16" t="s">
        <v>62</v>
      </c>
      <c r="E99" s="17" t="s">
        <v>281</v>
      </c>
      <c r="F99" s="17">
        <v>9.449236333E9</v>
      </c>
      <c r="G99" s="17"/>
      <c r="H99" s="17"/>
      <c r="I99" s="17" t="s">
        <v>282</v>
      </c>
      <c r="J99" s="17" t="s">
        <v>130</v>
      </c>
      <c r="K99" s="16" t="s">
        <v>77</v>
      </c>
      <c r="L99" s="17">
        <v>4.0</v>
      </c>
      <c r="M99" s="16" t="s">
        <v>16</v>
      </c>
      <c r="N99" s="19">
        <v>8.0</v>
      </c>
      <c r="O99" s="17">
        <v>2500.0</v>
      </c>
      <c r="P99" s="16"/>
      <c r="Q99" s="18"/>
      <c r="R99" s="16" t="s">
        <v>15</v>
      </c>
      <c r="S99" s="14">
        <f t="shared" si="2"/>
        <v>46039</v>
      </c>
      <c r="T99" s="8"/>
      <c r="U99" s="8"/>
      <c r="V99" s="8"/>
      <c r="W99" s="8"/>
      <c r="X99" s="8"/>
      <c r="Y99" s="8"/>
      <c r="Z99" s="8"/>
    </row>
    <row r="100" ht="22.5" customHeight="1">
      <c r="A100" s="9" t="str">
        <f t="shared" si="1"/>
        <v>LEA-0099</v>
      </c>
      <c r="B100" s="20">
        <v>45993.0</v>
      </c>
      <c r="C100" s="16" t="s">
        <v>39</v>
      </c>
      <c r="D100" s="16" t="s">
        <v>62</v>
      </c>
      <c r="E100" s="17" t="s">
        <v>249</v>
      </c>
      <c r="F100" s="17">
        <v>9.008816572E9</v>
      </c>
      <c r="G100" s="17"/>
      <c r="H100" s="17"/>
      <c r="I100" s="17" t="s">
        <v>250</v>
      </c>
      <c r="J100" s="17" t="s">
        <v>283</v>
      </c>
      <c r="K100" s="16" t="s">
        <v>77</v>
      </c>
      <c r="L100" s="17">
        <v>8.0</v>
      </c>
      <c r="M100" s="16" t="s">
        <v>16</v>
      </c>
      <c r="N100" s="19">
        <v>25.0</v>
      </c>
      <c r="O100" s="17">
        <v>4800.0</v>
      </c>
      <c r="P100" s="16"/>
      <c r="Q100" s="18"/>
      <c r="R100" s="16" t="s">
        <v>15</v>
      </c>
      <c r="S100" s="14">
        <f t="shared" si="2"/>
        <v>46039</v>
      </c>
      <c r="T100" s="8"/>
      <c r="U100" s="8"/>
      <c r="V100" s="8"/>
      <c r="W100" s="8"/>
      <c r="X100" s="8"/>
      <c r="Y100" s="8"/>
      <c r="Z100" s="8"/>
    </row>
    <row r="101" ht="22.5" customHeight="1">
      <c r="A101" s="9" t="str">
        <f t="shared" si="1"/>
        <v>LEA-0100</v>
      </c>
      <c r="B101" s="20">
        <v>45993.0</v>
      </c>
      <c r="C101" s="16" t="s">
        <v>39</v>
      </c>
      <c r="D101" s="16" t="s">
        <v>62</v>
      </c>
      <c r="E101" s="17" t="s">
        <v>252</v>
      </c>
      <c r="F101" s="17">
        <v>8.548906806E9</v>
      </c>
      <c r="G101" s="17"/>
      <c r="H101" s="17"/>
      <c r="I101" s="17" t="s">
        <v>250</v>
      </c>
      <c r="J101" s="17" t="s">
        <v>283</v>
      </c>
      <c r="K101" s="16" t="s">
        <v>77</v>
      </c>
      <c r="L101" s="17">
        <v>4.0</v>
      </c>
      <c r="M101" s="16" t="s">
        <v>16</v>
      </c>
      <c r="N101" s="19">
        <v>25.0</v>
      </c>
      <c r="O101" s="17">
        <v>2400.0</v>
      </c>
      <c r="P101" s="16"/>
      <c r="Q101" s="18"/>
      <c r="R101" s="16" t="s">
        <v>15</v>
      </c>
      <c r="S101" s="14">
        <f t="shared" si="2"/>
        <v>46039</v>
      </c>
      <c r="T101" s="8"/>
      <c r="U101" s="8"/>
      <c r="V101" s="8"/>
      <c r="W101" s="8"/>
      <c r="X101" s="8"/>
      <c r="Y101" s="8"/>
      <c r="Z101" s="8"/>
    </row>
    <row r="102" ht="22.5" customHeight="1">
      <c r="A102" s="9" t="str">
        <f t="shared" si="1"/>
        <v>LEA-0101</v>
      </c>
      <c r="B102" s="20">
        <v>45993.0</v>
      </c>
      <c r="C102" s="16" t="s">
        <v>39</v>
      </c>
      <c r="D102" s="16" t="s">
        <v>62</v>
      </c>
      <c r="E102" s="17" t="s">
        <v>193</v>
      </c>
      <c r="F102" s="17">
        <v>6.361743799E9</v>
      </c>
      <c r="G102" s="17"/>
      <c r="H102" s="17"/>
      <c r="I102" s="17" t="s">
        <v>250</v>
      </c>
      <c r="J102" s="17" t="s">
        <v>283</v>
      </c>
      <c r="K102" s="16" t="s">
        <v>77</v>
      </c>
      <c r="L102" s="17">
        <v>3.0</v>
      </c>
      <c r="M102" s="16" t="s">
        <v>16</v>
      </c>
      <c r="N102" s="19">
        <v>35.0</v>
      </c>
      <c r="O102" s="17">
        <v>1800.0</v>
      </c>
      <c r="P102" s="16"/>
      <c r="Q102" s="18"/>
      <c r="R102" s="16" t="s">
        <v>15</v>
      </c>
      <c r="S102" s="14">
        <f t="shared" si="2"/>
        <v>46039</v>
      </c>
      <c r="T102" s="8"/>
      <c r="U102" s="8"/>
      <c r="V102" s="8"/>
      <c r="W102" s="8"/>
      <c r="X102" s="8"/>
      <c r="Y102" s="8"/>
      <c r="Z102" s="8"/>
    </row>
    <row r="103" ht="22.5" customHeight="1">
      <c r="A103" s="9" t="str">
        <f t="shared" si="1"/>
        <v>LEA-0102</v>
      </c>
      <c r="B103" s="20">
        <v>45993.0</v>
      </c>
      <c r="C103" s="16" t="s">
        <v>39</v>
      </c>
      <c r="D103" s="16" t="s">
        <v>62</v>
      </c>
      <c r="E103" s="17" t="s">
        <v>253</v>
      </c>
      <c r="F103" s="17">
        <v>9.113238134E9</v>
      </c>
      <c r="G103" s="17"/>
      <c r="H103" s="17"/>
      <c r="I103" s="17" t="s">
        <v>250</v>
      </c>
      <c r="J103" s="17" t="s">
        <v>283</v>
      </c>
      <c r="K103" s="16" t="s">
        <v>77</v>
      </c>
      <c r="L103" s="17">
        <v>2.0</v>
      </c>
      <c r="M103" s="16" t="s">
        <v>16</v>
      </c>
      <c r="N103" s="19">
        <v>6.0</v>
      </c>
      <c r="O103" s="17">
        <v>1200.0</v>
      </c>
      <c r="P103" s="16"/>
      <c r="Q103" s="18"/>
      <c r="R103" s="16" t="s">
        <v>15</v>
      </c>
      <c r="S103" s="14">
        <f t="shared" si="2"/>
        <v>46039</v>
      </c>
      <c r="T103" s="8"/>
      <c r="U103" s="8"/>
      <c r="V103" s="8"/>
      <c r="W103" s="8"/>
      <c r="X103" s="8"/>
      <c r="Y103" s="8"/>
      <c r="Z103" s="8"/>
    </row>
    <row r="104" ht="22.5" customHeight="1">
      <c r="A104" s="9" t="str">
        <f t="shared" si="1"/>
        <v>LEA-0103</v>
      </c>
      <c r="B104" s="20">
        <v>45993.0</v>
      </c>
      <c r="C104" s="16" t="s">
        <v>39</v>
      </c>
      <c r="D104" s="16" t="s">
        <v>62</v>
      </c>
      <c r="E104" s="17" t="s">
        <v>254</v>
      </c>
      <c r="F104" s="17">
        <v>8.197126174E9</v>
      </c>
      <c r="G104" s="17"/>
      <c r="H104" s="17"/>
      <c r="I104" s="17" t="s">
        <v>250</v>
      </c>
      <c r="J104" s="17" t="s">
        <v>283</v>
      </c>
      <c r="K104" s="16" t="s">
        <v>77</v>
      </c>
      <c r="L104" s="17">
        <v>3.0</v>
      </c>
      <c r="M104" s="16" t="s">
        <v>16</v>
      </c>
      <c r="N104" s="19">
        <v>6.0</v>
      </c>
      <c r="O104" s="17">
        <v>1800.0</v>
      </c>
      <c r="P104" s="16"/>
      <c r="Q104" s="18"/>
      <c r="R104" s="16" t="s">
        <v>15</v>
      </c>
      <c r="S104" s="14">
        <f t="shared" si="2"/>
        <v>46039</v>
      </c>
      <c r="T104" s="8"/>
      <c r="U104" s="8"/>
      <c r="V104" s="8"/>
      <c r="W104" s="8"/>
      <c r="X104" s="8"/>
      <c r="Y104" s="8"/>
      <c r="Z104" s="8"/>
    </row>
    <row r="105" ht="22.5" customHeight="1">
      <c r="A105" s="9" t="str">
        <f t="shared" si="1"/>
        <v>LEA-0104</v>
      </c>
      <c r="B105" s="20">
        <v>45993.0</v>
      </c>
      <c r="C105" s="16" t="s">
        <v>39</v>
      </c>
      <c r="D105" s="16" t="s">
        <v>62</v>
      </c>
      <c r="E105" s="17" t="s">
        <v>255</v>
      </c>
      <c r="F105" s="17">
        <v>9.353099409E9</v>
      </c>
      <c r="G105" s="17"/>
      <c r="H105" s="17"/>
      <c r="I105" s="17" t="s">
        <v>250</v>
      </c>
      <c r="J105" s="17" t="s">
        <v>283</v>
      </c>
      <c r="K105" s="16" t="s">
        <v>77</v>
      </c>
      <c r="L105" s="17">
        <v>2.0</v>
      </c>
      <c r="M105" s="16" t="s">
        <v>16</v>
      </c>
      <c r="N105" s="19">
        <v>25.0</v>
      </c>
      <c r="O105" s="17">
        <v>1400.0</v>
      </c>
      <c r="P105" s="16"/>
      <c r="Q105" s="18"/>
      <c r="R105" s="16" t="s">
        <v>15</v>
      </c>
      <c r="S105" s="14">
        <f t="shared" si="2"/>
        <v>46039</v>
      </c>
      <c r="T105" s="8"/>
      <c r="U105" s="8"/>
      <c r="V105" s="8"/>
      <c r="W105" s="8"/>
      <c r="X105" s="8"/>
      <c r="Y105" s="8"/>
      <c r="Z105" s="8"/>
    </row>
    <row r="106" ht="22.5" customHeight="1">
      <c r="A106" s="9" t="str">
        <f t="shared" si="1"/>
        <v>LEA-0105</v>
      </c>
      <c r="B106" s="20">
        <v>45993.0</v>
      </c>
      <c r="C106" s="16" t="s">
        <v>39</v>
      </c>
      <c r="D106" s="16" t="s">
        <v>62</v>
      </c>
      <c r="E106" s="17" t="s">
        <v>256</v>
      </c>
      <c r="F106" s="17">
        <v>8.105323343E9</v>
      </c>
      <c r="G106" s="17"/>
      <c r="H106" s="17"/>
      <c r="I106" s="17" t="s">
        <v>250</v>
      </c>
      <c r="J106" s="17" t="s">
        <v>283</v>
      </c>
      <c r="K106" s="16" t="s">
        <v>77</v>
      </c>
      <c r="L106" s="17">
        <v>1.0</v>
      </c>
      <c r="M106" s="16" t="s">
        <v>16</v>
      </c>
      <c r="N106" s="19">
        <v>15.0</v>
      </c>
      <c r="O106" s="17">
        <v>640.0</v>
      </c>
      <c r="P106" s="16"/>
      <c r="Q106" s="18"/>
      <c r="R106" s="16" t="s">
        <v>15</v>
      </c>
      <c r="S106" s="14">
        <f t="shared" si="2"/>
        <v>46039</v>
      </c>
      <c r="T106" s="8"/>
      <c r="U106" s="8"/>
      <c r="V106" s="8"/>
      <c r="W106" s="8"/>
      <c r="X106" s="8"/>
      <c r="Y106" s="8"/>
      <c r="Z106" s="8"/>
    </row>
    <row r="107" ht="22.5" customHeight="1">
      <c r="A107" s="9" t="str">
        <f t="shared" si="1"/>
        <v>LEA-0106</v>
      </c>
      <c r="B107" s="20">
        <v>45994.0</v>
      </c>
      <c r="C107" s="16" t="s">
        <v>39</v>
      </c>
      <c r="D107" s="16" t="s">
        <v>62</v>
      </c>
      <c r="E107" s="17" t="s">
        <v>203</v>
      </c>
      <c r="F107" s="17">
        <v>9.480277102E9</v>
      </c>
      <c r="G107" s="17"/>
      <c r="H107" s="17"/>
      <c r="I107" s="17" t="s">
        <v>284</v>
      </c>
      <c r="J107" s="17" t="s">
        <v>285</v>
      </c>
      <c r="K107" s="16" t="s">
        <v>75</v>
      </c>
      <c r="L107" s="17">
        <v>10.0</v>
      </c>
      <c r="M107" s="16" t="s">
        <v>16</v>
      </c>
      <c r="N107" s="19">
        <v>25.0</v>
      </c>
      <c r="O107" s="17">
        <v>6000.0</v>
      </c>
      <c r="P107" s="16"/>
      <c r="Q107" s="18"/>
      <c r="R107" s="16" t="s">
        <v>15</v>
      </c>
      <c r="S107" s="14">
        <f t="shared" si="2"/>
        <v>46039</v>
      </c>
      <c r="T107" s="8"/>
      <c r="U107" s="8"/>
      <c r="V107" s="8"/>
      <c r="W107" s="8"/>
      <c r="X107" s="8"/>
      <c r="Y107" s="8"/>
      <c r="Z107" s="8"/>
    </row>
    <row r="108" ht="22.5" customHeight="1">
      <c r="A108" s="9" t="str">
        <f t="shared" si="1"/>
        <v>LEA-0107</v>
      </c>
      <c r="B108" s="20">
        <v>45994.0</v>
      </c>
      <c r="C108" s="16" t="s">
        <v>39</v>
      </c>
      <c r="D108" s="16" t="s">
        <v>62</v>
      </c>
      <c r="E108" s="17" t="s">
        <v>286</v>
      </c>
      <c r="F108" s="17">
        <v>9.449139007E9</v>
      </c>
      <c r="G108" s="17"/>
      <c r="H108" s="17"/>
      <c r="I108" s="17" t="s">
        <v>287</v>
      </c>
      <c r="J108" s="17" t="s">
        <v>285</v>
      </c>
      <c r="K108" s="16" t="s">
        <v>75</v>
      </c>
      <c r="L108" s="17">
        <v>8.0</v>
      </c>
      <c r="M108" s="16" t="s">
        <v>16</v>
      </c>
      <c r="N108" s="19">
        <v>23.0</v>
      </c>
      <c r="O108" s="17">
        <v>4800.0</v>
      </c>
      <c r="P108" s="16"/>
      <c r="Q108" s="18"/>
      <c r="R108" s="16" t="s">
        <v>15</v>
      </c>
      <c r="S108" s="14">
        <f t="shared" si="2"/>
        <v>46039</v>
      </c>
      <c r="T108" s="8"/>
      <c r="U108" s="8"/>
      <c r="V108" s="8"/>
      <c r="W108" s="8"/>
      <c r="X108" s="8"/>
      <c r="Y108" s="8"/>
      <c r="Z108" s="8"/>
    </row>
    <row r="109" ht="22.5" customHeight="1">
      <c r="A109" s="9" t="str">
        <f t="shared" si="1"/>
        <v>LEA-0108</v>
      </c>
      <c r="B109" s="20">
        <v>45994.0</v>
      </c>
      <c r="C109" s="16" t="s">
        <v>39</v>
      </c>
      <c r="D109" s="16" t="s">
        <v>62</v>
      </c>
      <c r="E109" s="17" t="s">
        <v>288</v>
      </c>
      <c r="F109" s="17">
        <v>9.901714425E9</v>
      </c>
      <c r="G109" s="17"/>
      <c r="H109" s="17"/>
      <c r="I109" s="17" t="s">
        <v>289</v>
      </c>
      <c r="J109" s="17" t="s">
        <v>290</v>
      </c>
      <c r="K109" s="16" t="s">
        <v>75</v>
      </c>
      <c r="L109" s="17">
        <v>7.0</v>
      </c>
      <c r="M109" s="16" t="s">
        <v>16</v>
      </c>
      <c r="N109" s="19">
        <v>35.0</v>
      </c>
      <c r="O109" s="17">
        <v>4200.0</v>
      </c>
      <c r="P109" s="16"/>
      <c r="Q109" s="18"/>
      <c r="R109" s="16" t="s">
        <v>15</v>
      </c>
      <c r="S109" s="14">
        <f t="shared" si="2"/>
        <v>46039</v>
      </c>
      <c r="T109" s="8"/>
      <c r="U109" s="8"/>
      <c r="V109" s="8"/>
      <c r="W109" s="8"/>
      <c r="X109" s="8"/>
      <c r="Y109" s="8"/>
      <c r="Z109" s="8"/>
    </row>
    <row r="110" ht="22.5" customHeight="1">
      <c r="A110" s="9" t="str">
        <f t="shared" si="1"/>
        <v>LEA-0109</v>
      </c>
      <c r="B110" s="20">
        <v>45994.0</v>
      </c>
      <c r="C110" s="16" t="s">
        <v>39</v>
      </c>
      <c r="D110" s="16" t="s">
        <v>62</v>
      </c>
      <c r="E110" s="17" t="s">
        <v>291</v>
      </c>
      <c r="F110" s="17">
        <v>9.731417537E9</v>
      </c>
      <c r="G110" s="17"/>
      <c r="H110" s="17"/>
      <c r="I110" s="17" t="s">
        <v>292</v>
      </c>
      <c r="J110" s="17" t="s">
        <v>77</v>
      </c>
      <c r="K110" s="16" t="s">
        <v>77</v>
      </c>
      <c r="L110" s="17">
        <v>10.0</v>
      </c>
      <c r="M110" s="16" t="s">
        <v>16</v>
      </c>
      <c r="N110" s="19">
        <v>25.0</v>
      </c>
      <c r="O110" s="17">
        <v>6000.0</v>
      </c>
      <c r="P110" s="16"/>
      <c r="Q110" s="18"/>
      <c r="R110" s="16" t="s">
        <v>15</v>
      </c>
      <c r="S110" s="14">
        <f t="shared" si="2"/>
        <v>46039</v>
      </c>
      <c r="T110" s="8"/>
      <c r="U110" s="8"/>
      <c r="V110" s="8"/>
      <c r="W110" s="8"/>
      <c r="X110" s="8"/>
      <c r="Y110" s="8"/>
      <c r="Z110" s="8"/>
    </row>
    <row r="111" ht="22.5" customHeight="1">
      <c r="A111" s="9" t="str">
        <f t="shared" si="1"/>
        <v>LEA-0110</v>
      </c>
      <c r="B111" s="20">
        <v>45994.0</v>
      </c>
      <c r="C111" s="16" t="s">
        <v>39</v>
      </c>
      <c r="D111" s="16" t="s">
        <v>62</v>
      </c>
      <c r="E111" s="17" t="s">
        <v>293</v>
      </c>
      <c r="F111" s="17">
        <v>9.741081616E9</v>
      </c>
      <c r="G111" s="17"/>
      <c r="H111" s="17"/>
      <c r="I111" s="17" t="s">
        <v>284</v>
      </c>
      <c r="J111" s="17" t="s">
        <v>285</v>
      </c>
      <c r="K111" s="16" t="s">
        <v>75</v>
      </c>
      <c r="L111" s="17">
        <v>2.0</v>
      </c>
      <c r="M111" s="16" t="s">
        <v>16</v>
      </c>
      <c r="N111" s="19">
        <v>8.0</v>
      </c>
      <c r="O111" s="17">
        <v>1500.0</v>
      </c>
      <c r="P111" s="16"/>
      <c r="Q111" s="18"/>
      <c r="R111" s="16" t="s">
        <v>15</v>
      </c>
      <c r="S111" s="14">
        <f t="shared" si="2"/>
        <v>46039</v>
      </c>
      <c r="T111" s="8"/>
      <c r="U111" s="8"/>
      <c r="V111" s="8"/>
      <c r="W111" s="8"/>
      <c r="X111" s="8"/>
      <c r="Y111" s="8"/>
      <c r="Z111" s="8"/>
    </row>
    <row r="112" ht="22.5" customHeight="1">
      <c r="A112" s="9" t="str">
        <f t="shared" si="1"/>
        <v>LEA-0111</v>
      </c>
      <c r="B112" s="20">
        <v>45994.0</v>
      </c>
      <c r="C112" s="16" t="s">
        <v>39</v>
      </c>
      <c r="D112" s="16" t="s">
        <v>62</v>
      </c>
      <c r="E112" s="17" t="s">
        <v>294</v>
      </c>
      <c r="F112" s="17">
        <v>9.686632067E9</v>
      </c>
      <c r="G112" s="17"/>
      <c r="H112" s="17"/>
      <c r="I112" s="17" t="s">
        <v>295</v>
      </c>
      <c r="J112" s="17" t="s">
        <v>285</v>
      </c>
      <c r="K112" s="16" t="s">
        <v>75</v>
      </c>
      <c r="L112" s="17">
        <v>4.0</v>
      </c>
      <c r="M112" s="16" t="s">
        <v>16</v>
      </c>
      <c r="N112" s="19">
        <v>9.0</v>
      </c>
      <c r="O112" s="17">
        <v>2400.0</v>
      </c>
      <c r="P112" s="16"/>
      <c r="Q112" s="18"/>
      <c r="R112" s="16" t="s">
        <v>15</v>
      </c>
      <c r="S112" s="14">
        <f t="shared" si="2"/>
        <v>46039</v>
      </c>
      <c r="T112" s="8"/>
      <c r="U112" s="8"/>
      <c r="V112" s="8"/>
      <c r="W112" s="8"/>
      <c r="X112" s="8"/>
      <c r="Y112" s="8"/>
      <c r="Z112" s="8"/>
    </row>
    <row r="113" ht="22.5" customHeight="1">
      <c r="A113" s="9" t="str">
        <f t="shared" si="1"/>
        <v>LEA-0112</v>
      </c>
      <c r="B113" s="20">
        <v>45994.0</v>
      </c>
      <c r="C113" s="16" t="s">
        <v>39</v>
      </c>
      <c r="D113" s="16" t="s">
        <v>62</v>
      </c>
      <c r="E113" s="17" t="s">
        <v>296</v>
      </c>
      <c r="F113" s="17">
        <v>9.844712624E9</v>
      </c>
      <c r="G113" s="17"/>
      <c r="H113" s="17"/>
      <c r="I113" s="17" t="s">
        <v>290</v>
      </c>
      <c r="J113" s="17" t="s">
        <v>290</v>
      </c>
      <c r="K113" s="16" t="s">
        <v>75</v>
      </c>
      <c r="L113" s="17">
        <v>18.0</v>
      </c>
      <c r="M113" s="16" t="s">
        <v>16</v>
      </c>
      <c r="N113" s="19">
        <v>15.0</v>
      </c>
      <c r="O113" s="17">
        <v>10800.0</v>
      </c>
      <c r="P113" s="16"/>
      <c r="Q113" s="18"/>
      <c r="R113" s="16" t="s">
        <v>15</v>
      </c>
      <c r="S113" s="14">
        <f t="shared" si="2"/>
        <v>46039</v>
      </c>
      <c r="T113" s="8"/>
      <c r="U113" s="8"/>
      <c r="V113" s="8"/>
      <c r="W113" s="8"/>
      <c r="X113" s="8"/>
      <c r="Y113" s="8"/>
      <c r="Z113" s="8"/>
    </row>
    <row r="114" ht="22.5" customHeight="1">
      <c r="A114" s="9" t="str">
        <f t="shared" si="1"/>
        <v>LEA-0113</v>
      </c>
      <c r="B114" s="20">
        <v>45994.0</v>
      </c>
      <c r="C114" s="16" t="s">
        <v>70</v>
      </c>
      <c r="D114" s="16" t="s">
        <v>62</v>
      </c>
      <c r="E114" s="17" t="s">
        <v>297</v>
      </c>
      <c r="F114" s="17">
        <v>9.448521165E9</v>
      </c>
      <c r="G114" s="17"/>
      <c r="H114" s="17"/>
      <c r="I114" s="17" t="s">
        <v>298</v>
      </c>
      <c r="J114" s="17" t="s">
        <v>230</v>
      </c>
      <c r="K114" s="16" t="s">
        <v>79</v>
      </c>
      <c r="L114" s="17">
        <v>1.0</v>
      </c>
      <c r="M114" s="16" t="s">
        <v>16</v>
      </c>
      <c r="N114" s="19"/>
      <c r="O114" s="17">
        <v>4000.0</v>
      </c>
      <c r="P114" s="16"/>
      <c r="Q114" s="18"/>
      <c r="R114" s="16" t="s">
        <v>15</v>
      </c>
      <c r="S114" s="14">
        <f t="shared" si="2"/>
        <v>46039</v>
      </c>
      <c r="T114" s="8"/>
      <c r="U114" s="8"/>
      <c r="V114" s="8"/>
      <c r="W114" s="8"/>
      <c r="X114" s="8"/>
      <c r="Y114" s="8"/>
      <c r="Z114" s="8"/>
    </row>
    <row r="115" ht="22.5" customHeight="1">
      <c r="A115" s="9" t="str">
        <f t="shared" si="1"/>
        <v>LEA-0114</v>
      </c>
      <c r="B115" s="20">
        <v>45994.0</v>
      </c>
      <c r="C115" s="16" t="s">
        <v>70</v>
      </c>
      <c r="D115" s="16" t="s">
        <v>62</v>
      </c>
      <c r="E115" s="17" t="s">
        <v>299</v>
      </c>
      <c r="F115" s="17">
        <v>8.105116036E9</v>
      </c>
      <c r="G115" s="17"/>
      <c r="H115" s="17"/>
      <c r="I115" s="17" t="s">
        <v>300</v>
      </c>
      <c r="J115" s="17" t="s">
        <v>230</v>
      </c>
      <c r="K115" s="16" t="s">
        <v>79</v>
      </c>
      <c r="L115" s="17">
        <v>3.0</v>
      </c>
      <c r="M115" s="16" t="s">
        <v>16</v>
      </c>
      <c r="N115" s="19"/>
      <c r="O115" s="17">
        <v>1800.0</v>
      </c>
      <c r="P115" s="16"/>
      <c r="Q115" s="18"/>
      <c r="R115" s="16" t="s">
        <v>15</v>
      </c>
      <c r="S115" s="14">
        <f t="shared" si="2"/>
        <v>46039</v>
      </c>
      <c r="T115" s="8"/>
      <c r="U115" s="8"/>
      <c r="V115" s="8"/>
      <c r="W115" s="8"/>
      <c r="X115" s="8"/>
      <c r="Y115" s="8"/>
      <c r="Z115" s="8"/>
    </row>
    <row r="116" ht="22.5" customHeight="1">
      <c r="A116" s="9" t="str">
        <f t="shared" si="1"/>
        <v>LEA-0115</v>
      </c>
      <c r="B116" s="20">
        <v>45994.0</v>
      </c>
      <c r="C116" s="16" t="s">
        <v>70</v>
      </c>
      <c r="D116" s="16" t="s">
        <v>62</v>
      </c>
      <c r="E116" s="17" t="s">
        <v>160</v>
      </c>
      <c r="F116" s="17">
        <v>9.964429449E9</v>
      </c>
      <c r="G116" s="17"/>
      <c r="H116" s="17"/>
      <c r="I116" s="17" t="s">
        <v>235</v>
      </c>
      <c r="J116" s="17" t="s">
        <v>155</v>
      </c>
      <c r="K116" s="16" t="s">
        <v>79</v>
      </c>
      <c r="L116" s="17">
        <v>5.0</v>
      </c>
      <c r="M116" s="16" t="s">
        <v>16</v>
      </c>
      <c r="N116" s="19"/>
      <c r="O116" s="17">
        <v>3000.0</v>
      </c>
      <c r="P116" s="16"/>
      <c r="Q116" s="18"/>
      <c r="R116" s="16" t="s">
        <v>15</v>
      </c>
      <c r="S116" s="14">
        <f t="shared" si="2"/>
        <v>46039</v>
      </c>
      <c r="T116" s="8"/>
      <c r="U116" s="8"/>
      <c r="V116" s="8"/>
      <c r="W116" s="8"/>
      <c r="X116" s="8"/>
      <c r="Y116" s="8"/>
      <c r="Z116" s="8"/>
    </row>
    <row r="117" ht="22.5" customHeight="1">
      <c r="A117" s="9" t="str">
        <f t="shared" si="1"/>
        <v>LEA-0116</v>
      </c>
      <c r="B117" s="20">
        <v>45995.0</v>
      </c>
      <c r="C117" s="16" t="s">
        <v>70</v>
      </c>
      <c r="D117" s="16" t="s">
        <v>62</v>
      </c>
      <c r="E117" s="17" t="s">
        <v>301</v>
      </c>
      <c r="F117" s="17">
        <v>9.741511314E9</v>
      </c>
      <c r="G117" s="17"/>
      <c r="H117" s="17"/>
      <c r="I117" s="17" t="s">
        <v>302</v>
      </c>
      <c r="J117" s="17" t="s">
        <v>155</v>
      </c>
      <c r="K117" s="16" t="s">
        <v>79</v>
      </c>
      <c r="L117" s="17">
        <v>4.0</v>
      </c>
      <c r="M117" s="16" t="s">
        <v>16</v>
      </c>
      <c r="N117" s="19"/>
      <c r="O117" s="17">
        <v>2500.0</v>
      </c>
      <c r="P117" s="16"/>
      <c r="Q117" s="18"/>
      <c r="R117" s="16" t="s">
        <v>15</v>
      </c>
      <c r="S117" s="14">
        <f t="shared" si="2"/>
        <v>46039</v>
      </c>
      <c r="T117" s="8"/>
      <c r="U117" s="8"/>
      <c r="V117" s="8"/>
      <c r="W117" s="8"/>
      <c r="X117" s="8"/>
      <c r="Y117" s="8"/>
      <c r="Z117" s="8"/>
    </row>
    <row r="118" ht="22.5" customHeight="1">
      <c r="A118" s="9" t="str">
        <f t="shared" si="1"/>
        <v>LEA-0117</v>
      </c>
      <c r="B118" s="20">
        <v>45995.0</v>
      </c>
      <c r="C118" s="16" t="s">
        <v>70</v>
      </c>
      <c r="D118" s="16" t="s">
        <v>62</v>
      </c>
      <c r="E118" s="17" t="s">
        <v>303</v>
      </c>
      <c r="F118" s="17">
        <v>8.277076219E9</v>
      </c>
      <c r="G118" s="17"/>
      <c r="H118" s="17"/>
      <c r="I118" s="17" t="s">
        <v>302</v>
      </c>
      <c r="J118" s="17" t="s">
        <v>155</v>
      </c>
      <c r="K118" s="16" t="s">
        <v>79</v>
      </c>
      <c r="L118" s="17">
        <v>5.0</v>
      </c>
      <c r="M118" s="16" t="s">
        <v>16</v>
      </c>
      <c r="N118" s="19"/>
      <c r="O118" s="17">
        <v>3000.0</v>
      </c>
      <c r="P118" s="16"/>
      <c r="Q118" s="18"/>
      <c r="R118" s="16" t="s">
        <v>15</v>
      </c>
      <c r="S118" s="14">
        <f t="shared" si="2"/>
        <v>46039</v>
      </c>
      <c r="T118" s="8"/>
      <c r="U118" s="8"/>
      <c r="V118" s="8"/>
      <c r="W118" s="8"/>
      <c r="X118" s="8"/>
      <c r="Y118" s="8"/>
      <c r="Z118" s="8"/>
    </row>
    <row r="119" ht="22.5" customHeight="1">
      <c r="A119" s="9" t="str">
        <f t="shared" si="1"/>
        <v>LEA-0118</v>
      </c>
      <c r="B119" s="20">
        <v>45995.0</v>
      </c>
      <c r="C119" s="16" t="s">
        <v>70</v>
      </c>
      <c r="D119" s="16" t="s">
        <v>62</v>
      </c>
      <c r="E119" s="17" t="s">
        <v>304</v>
      </c>
      <c r="F119" s="17">
        <v>8.770922271E9</v>
      </c>
      <c r="G119" s="17"/>
      <c r="H119" s="17"/>
      <c r="I119" s="17" t="s">
        <v>305</v>
      </c>
      <c r="J119" s="17" t="s">
        <v>155</v>
      </c>
      <c r="K119" s="16" t="s">
        <v>79</v>
      </c>
      <c r="L119" s="17">
        <v>8.0</v>
      </c>
      <c r="M119" s="16" t="s">
        <v>16</v>
      </c>
      <c r="N119" s="19"/>
      <c r="O119" s="17">
        <v>4800.0</v>
      </c>
      <c r="P119" s="16"/>
      <c r="Q119" s="18"/>
      <c r="R119" s="16" t="s">
        <v>15</v>
      </c>
      <c r="S119" s="14">
        <f t="shared" si="2"/>
        <v>46039</v>
      </c>
      <c r="T119" s="8"/>
      <c r="U119" s="8"/>
      <c r="V119" s="8"/>
      <c r="W119" s="8"/>
      <c r="X119" s="8"/>
      <c r="Y119" s="8"/>
      <c r="Z119" s="8"/>
    </row>
    <row r="120" ht="22.5" customHeight="1">
      <c r="A120" s="9" t="str">
        <f t="shared" si="1"/>
        <v>LEA-0119</v>
      </c>
      <c r="B120" s="20">
        <v>45995.0</v>
      </c>
      <c r="C120" s="16" t="s">
        <v>39</v>
      </c>
      <c r="D120" s="16" t="s">
        <v>62</v>
      </c>
      <c r="E120" s="17" t="s">
        <v>306</v>
      </c>
      <c r="F120" s="17">
        <v>7.892608881E9</v>
      </c>
      <c r="G120" s="17"/>
      <c r="H120" s="17"/>
      <c r="I120" s="17" t="s">
        <v>307</v>
      </c>
      <c r="J120" s="17" t="s">
        <v>308</v>
      </c>
      <c r="K120" s="16" t="s">
        <v>77</v>
      </c>
      <c r="L120" s="17">
        <v>5.0</v>
      </c>
      <c r="M120" s="16" t="s">
        <v>16</v>
      </c>
      <c r="N120" s="19">
        <v>30.0</v>
      </c>
      <c r="O120" s="17">
        <v>3000.0</v>
      </c>
      <c r="P120" s="16"/>
      <c r="Q120" s="18"/>
      <c r="R120" s="16" t="s">
        <v>15</v>
      </c>
      <c r="S120" s="14">
        <f t="shared" si="2"/>
        <v>46039</v>
      </c>
      <c r="T120" s="8"/>
      <c r="U120" s="8"/>
      <c r="V120" s="8"/>
      <c r="W120" s="8"/>
      <c r="X120" s="8"/>
      <c r="Y120" s="8"/>
      <c r="Z120" s="8"/>
    </row>
    <row r="121" ht="22.5" customHeight="1">
      <c r="A121" s="9" t="str">
        <f t="shared" si="1"/>
        <v>LEA-0120</v>
      </c>
      <c r="B121" s="20">
        <v>45995.0</v>
      </c>
      <c r="C121" s="16" t="s">
        <v>39</v>
      </c>
      <c r="D121" s="16" t="s">
        <v>62</v>
      </c>
      <c r="E121" s="17" t="s">
        <v>277</v>
      </c>
      <c r="F121" s="17">
        <v>7.019118298E9</v>
      </c>
      <c r="G121" s="17"/>
      <c r="H121" s="17"/>
      <c r="I121" s="17" t="s">
        <v>278</v>
      </c>
      <c r="J121" s="17" t="s">
        <v>308</v>
      </c>
      <c r="K121" s="16" t="s">
        <v>77</v>
      </c>
      <c r="L121" s="17">
        <v>5.0</v>
      </c>
      <c r="M121" s="16" t="s">
        <v>16</v>
      </c>
      <c r="N121" s="19">
        <v>20.0</v>
      </c>
      <c r="O121" s="17">
        <v>3000.0</v>
      </c>
      <c r="P121" s="16"/>
      <c r="Q121" s="18"/>
      <c r="R121" s="16" t="s">
        <v>15</v>
      </c>
      <c r="S121" s="14">
        <f t="shared" si="2"/>
        <v>46039</v>
      </c>
      <c r="T121" s="8"/>
      <c r="U121" s="8"/>
      <c r="V121" s="8"/>
      <c r="W121" s="8"/>
      <c r="X121" s="8"/>
      <c r="Y121" s="8"/>
      <c r="Z121" s="8"/>
    </row>
    <row r="122" ht="22.5" customHeight="1">
      <c r="A122" s="9" t="str">
        <f t="shared" si="1"/>
        <v>LEA-0121</v>
      </c>
      <c r="B122" s="20">
        <v>45995.0</v>
      </c>
      <c r="C122" s="16" t="s">
        <v>39</v>
      </c>
      <c r="D122" s="16" t="s">
        <v>62</v>
      </c>
      <c r="E122" s="17" t="s">
        <v>309</v>
      </c>
      <c r="F122" s="17">
        <v>6.360938608E9</v>
      </c>
      <c r="G122" s="17"/>
      <c r="H122" s="17"/>
      <c r="I122" s="17" t="s">
        <v>310</v>
      </c>
      <c r="J122" s="17" t="s">
        <v>77</v>
      </c>
      <c r="K122" s="16" t="s">
        <v>77</v>
      </c>
      <c r="L122" s="17">
        <v>4.0</v>
      </c>
      <c r="M122" s="16" t="s">
        <v>16</v>
      </c>
      <c r="N122" s="19">
        <v>30.0</v>
      </c>
      <c r="O122" s="17">
        <v>2500.0</v>
      </c>
      <c r="P122" s="16"/>
      <c r="Q122" s="18"/>
      <c r="R122" s="16" t="s">
        <v>15</v>
      </c>
      <c r="S122" s="14">
        <f t="shared" si="2"/>
        <v>46039</v>
      </c>
      <c r="T122" s="8"/>
      <c r="U122" s="8"/>
      <c r="V122" s="8"/>
      <c r="W122" s="8"/>
      <c r="X122" s="8"/>
      <c r="Y122" s="8"/>
      <c r="Z122" s="8"/>
    </row>
    <row r="123" ht="22.5" customHeight="1">
      <c r="A123" s="9" t="str">
        <f t="shared" si="1"/>
        <v>LEA-0122</v>
      </c>
      <c r="B123" s="20">
        <v>45995.0</v>
      </c>
      <c r="C123" s="16" t="s">
        <v>39</v>
      </c>
      <c r="D123" s="16" t="s">
        <v>62</v>
      </c>
      <c r="E123" s="17" t="s">
        <v>311</v>
      </c>
      <c r="F123" s="17">
        <v>9.44924233E9</v>
      </c>
      <c r="G123" s="17"/>
      <c r="H123" s="17"/>
      <c r="I123" s="17" t="s">
        <v>312</v>
      </c>
      <c r="J123" s="17" t="s">
        <v>308</v>
      </c>
      <c r="K123" s="16" t="s">
        <v>77</v>
      </c>
      <c r="L123" s="17">
        <v>1.6</v>
      </c>
      <c r="M123" s="16" t="s">
        <v>16</v>
      </c>
      <c r="N123" s="19">
        <v>5.0</v>
      </c>
      <c r="O123" s="17">
        <v>1000.0</v>
      </c>
      <c r="P123" s="16"/>
      <c r="Q123" s="18"/>
      <c r="R123" s="16" t="s">
        <v>15</v>
      </c>
      <c r="S123" s="14">
        <f t="shared" si="2"/>
        <v>46039</v>
      </c>
      <c r="T123" s="8"/>
      <c r="U123" s="8"/>
      <c r="V123" s="8"/>
      <c r="W123" s="8"/>
      <c r="X123" s="8"/>
      <c r="Y123" s="8"/>
      <c r="Z123" s="8"/>
    </row>
    <row r="124" ht="22.5" customHeight="1">
      <c r="A124" s="9" t="str">
        <f t="shared" si="1"/>
        <v>LEA-0123</v>
      </c>
      <c r="B124" s="20">
        <v>45995.0</v>
      </c>
      <c r="C124" s="16" t="s">
        <v>39</v>
      </c>
      <c r="D124" s="16" t="s">
        <v>62</v>
      </c>
      <c r="E124" s="17" t="s">
        <v>313</v>
      </c>
      <c r="F124" s="17">
        <v>8.806748893E9</v>
      </c>
      <c r="G124" s="17"/>
      <c r="H124" s="17"/>
      <c r="I124" s="17" t="s">
        <v>308</v>
      </c>
      <c r="J124" s="17" t="s">
        <v>308</v>
      </c>
      <c r="K124" s="16" t="s">
        <v>77</v>
      </c>
      <c r="L124" s="17">
        <v>1.6</v>
      </c>
      <c r="M124" s="16" t="s">
        <v>16</v>
      </c>
      <c r="N124" s="19">
        <v>30.0</v>
      </c>
      <c r="O124" s="17">
        <v>1000.0</v>
      </c>
      <c r="P124" s="16"/>
      <c r="Q124" s="18"/>
      <c r="R124" s="16" t="s">
        <v>15</v>
      </c>
      <c r="S124" s="14">
        <f t="shared" si="2"/>
        <v>46039</v>
      </c>
      <c r="T124" s="8"/>
      <c r="U124" s="8"/>
      <c r="V124" s="8"/>
      <c r="W124" s="8"/>
      <c r="X124" s="8"/>
      <c r="Y124" s="8"/>
      <c r="Z124" s="8"/>
    </row>
    <row r="125" ht="22.5" customHeight="1">
      <c r="A125" s="9" t="str">
        <f t="shared" si="1"/>
        <v>LEA-0124</v>
      </c>
      <c r="B125" s="20">
        <v>45996.0</v>
      </c>
      <c r="C125" s="16" t="s">
        <v>39</v>
      </c>
      <c r="D125" s="16" t="s">
        <v>62</v>
      </c>
      <c r="E125" s="17" t="s">
        <v>271</v>
      </c>
      <c r="F125" s="17">
        <v>9.741111001E9</v>
      </c>
      <c r="G125" s="17"/>
      <c r="H125" s="17"/>
      <c r="I125" s="17" t="s">
        <v>314</v>
      </c>
      <c r="J125" s="17" t="s">
        <v>308</v>
      </c>
      <c r="K125" s="16" t="s">
        <v>77</v>
      </c>
      <c r="L125" s="17">
        <v>2.5</v>
      </c>
      <c r="M125" s="16" t="s">
        <v>16</v>
      </c>
      <c r="N125" s="19">
        <v>3.0</v>
      </c>
      <c r="O125" s="17">
        <v>1500.0</v>
      </c>
      <c r="P125" s="16"/>
      <c r="Q125" s="18"/>
      <c r="R125" s="16" t="s">
        <v>15</v>
      </c>
      <c r="S125" s="14">
        <f t="shared" si="2"/>
        <v>46039</v>
      </c>
      <c r="T125" s="8"/>
      <c r="U125" s="8"/>
      <c r="V125" s="8"/>
      <c r="W125" s="8"/>
      <c r="X125" s="8"/>
      <c r="Y125" s="8"/>
      <c r="Z125" s="8"/>
    </row>
    <row r="126" ht="22.5" customHeight="1">
      <c r="A126" s="9" t="str">
        <f t="shared" si="1"/>
        <v>LEA-0125</v>
      </c>
      <c r="B126" s="20">
        <v>45996.0</v>
      </c>
      <c r="C126" s="16" t="s">
        <v>39</v>
      </c>
      <c r="D126" s="16" t="s">
        <v>62</v>
      </c>
      <c r="E126" s="17" t="s">
        <v>315</v>
      </c>
      <c r="F126" s="17">
        <v>9.880593607E9</v>
      </c>
      <c r="G126" s="17"/>
      <c r="H126" s="17"/>
      <c r="I126" s="17" t="s">
        <v>308</v>
      </c>
      <c r="J126" s="17" t="s">
        <v>308</v>
      </c>
      <c r="K126" s="16" t="s">
        <v>77</v>
      </c>
      <c r="L126" s="17">
        <v>25.0</v>
      </c>
      <c r="M126" s="16" t="s">
        <v>16</v>
      </c>
      <c r="N126" s="19">
        <v>30.0</v>
      </c>
      <c r="O126" s="17">
        <v>15000.0</v>
      </c>
      <c r="P126" s="16"/>
      <c r="Q126" s="18"/>
      <c r="R126" s="16" t="s">
        <v>15</v>
      </c>
      <c r="S126" s="14">
        <f t="shared" si="2"/>
        <v>46039</v>
      </c>
      <c r="T126" s="8"/>
      <c r="U126" s="8"/>
      <c r="V126" s="8"/>
      <c r="W126" s="8"/>
      <c r="X126" s="8"/>
      <c r="Y126" s="8"/>
      <c r="Z126" s="8"/>
    </row>
    <row r="127" ht="22.5" customHeight="1">
      <c r="A127" s="9" t="str">
        <f t="shared" si="1"/>
        <v>LEA-0126</v>
      </c>
      <c r="B127" s="20">
        <v>45996.0</v>
      </c>
      <c r="C127" s="16" t="s">
        <v>39</v>
      </c>
      <c r="D127" s="16" t="s">
        <v>62</v>
      </c>
      <c r="E127" s="17" t="s">
        <v>316</v>
      </c>
      <c r="F127" s="17">
        <v>8.27723402E9</v>
      </c>
      <c r="G127" s="17"/>
      <c r="H127" s="17"/>
      <c r="I127" s="17" t="s">
        <v>317</v>
      </c>
      <c r="J127" s="17" t="s">
        <v>308</v>
      </c>
      <c r="K127" s="16" t="s">
        <v>77</v>
      </c>
      <c r="L127" s="17">
        <v>2.5</v>
      </c>
      <c r="M127" s="16" t="s">
        <v>16</v>
      </c>
      <c r="N127" s="19">
        <v>12.0</v>
      </c>
      <c r="O127" s="17">
        <v>1500.0</v>
      </c>
      <c r="P127" s="16"/>
      <c r="Q127" s="18"/>
      <c r="R127" s="16" t="s">
        <v>15</v>
      </c>
      <c r="S127" s="14">
        <f t="shared" si="2"/>
        <v>46039</v>
      </c>
      <c r="T127" s="8"/>
      <c r="U127" s="8"/>
      <c r="V127" s="8"/>
      <c r="W127" s="8"/>
      <c r="X127" s="8"/>
      <c r="Y127" s="8"/>
      <c r="Z127" s="8"/>
    </row>
    <row r="128" ht="22.5" customHeight="1">
      <c r="A128" s="9" t="str">
        <f t="shared" si="1"/>
        <v>LEA-0127</v>
      </c>
      <c r="B128" s="20">
        <v>45996.0</v>
      </c>
      <c r="C128" s="16" t="s">
        <v>39</v>
      </c>
      <c r="D128" s="16" t="s">
        <v>62</v>
      </c>
      <c r="E128" s="17" t="s">
        <v>318</v>
      </c>
      <c r="F128" s="17">
        <v>9.632247246E9</v>
      </c>
      <c r="G128" s="17"/>
      <c r="H128" s="17"/>
      <c r="I128" s="17" t="s">
        <v>317</v>
      </c>
      <c r="J128" s="17" t="s">
        <v>308</v>
      </c>
      <c r="K128" s="16" t="s">
        <v>77</v>
      </c>
      <c r="L128" s="17">
        <v>5.0</v>
      </c>
      <c r="M128" s="16" t="s">
        <v>16</v>
      </c>
      <c r="N128" s="19">
        <v>30.0</v>
      </c>
      <c r="O128" s="17">
        <v>3000.0</v>
      </c>
      <c r="P128" s="16"/>
      <c r="Q128" s="18"/>
      <c r="R128" s="16" t="s">
        <v>15</v>
      </c>
      <c r="S128" s="14">
        <f t="shared" si="2"/>
        <v>46039</v>
      </c>
      <c r="T128" s="8"/>
      <c r="U128" s="8"/>
      <c r="V128" s="8"/>
      <c r="W128" s="8"/>
      <c r="X128" s="8"/>
      <c r="Y128" s="8"/>
      <c r="Z128" s="8"/>
    </row>
    <row r="129" ht="22.5" customHeight="1">
      <c r="A129" s="9" t="str">
        <f t="shared" si="1"/>
        <v>LEA-0128</v>
      </c>
      <c r="B129" s="20">
        <v>45996.0</v>
      </c>
      <c r="C129" s="16" t="s">
        <v>39</v>
      </c>
      <c r="D129" s="16" t="s">
        <v>62</v>
      </c>
      <c r="E129" s="17" t="s">
        <v>319</v>
      </c>
      <c r="F129" s="17">
        <v>7.34971069E9</v>
      </c>
      <c r="G129" s="17"/>
      <c r="H129" s="17"/>
      <c r="I129" s="17" t="s">
        <v>308</v>
      </c>
      <c r="J129" s="17" t="s">
        <v>308</v>
      </c>
      <c r="K129" s="16" t="s">
        <v>77</v>
      </c>
      <c r="L129" s="17">
        <v>4.0</v>
      </c>
      <c r="M129" s="16" t="s">
        <v>16</v>
      </c>
      <c r="N129" s="19">
        <v>15.0</v>
      </c>
      <c r="O129" s="17">
        <v>2400.0</v>
      </c>
      <c r="P129" s="16"/>
      <c r="Q129" s="18"/>
      <c r="R129" s="16" t="s">
        <v>15</v>
      </c>
      <c r="S129" s="14">
        <f t="shared" si="2"/>
        <v>46039</v>
      </c>
      <c r="T129" s="8"/>
      <c r="U129" s="8"/>
      <c r="V129" s="8"/>
      <c r="W129" s="8"/>
      <c r="X129" s="8"/>
      <c r="Y129" s="8"/>
      <c r="Z129" s="8"/>
    </row>
    <row r="130" ht="22.5" customHeight="1">
      <c r="A130" s="9" t="str">
        <f t="shared" si="1"/>
        <v>LEA-0129</v>
      </c>
      <c r="B130" s="20">
        <v>45996.0</v>
      </c>
      <c r="C130" s="16" t="s">
        <v>39</v>
      </c>
      <c r="D130" s="16" t="s">
        <v>62</v>
      </c>
      <c r="E130" s="17" t="s">
        <v>320</v>
      </c>
      <c r="F130" s="17">
        <v>9.481774592E9</v>
      </c>
      <c r="G130" s="17"/>
      <c r="H130" s="17"/>
      <c r="I130" s="17" t="s">
        <v>321</v>
      </c>
      <c r="J130" s="17" t="s">
        <v>308</v>
      </c>
      <c r="K130" s="16" t="s">
        <v>77</v>
      </c>
      <c r="L130" s="17">
        <v>1.4</v>
      </c>
      <c r="M130" s="16" t="s">
        <v>16</v>
      </c>
      <c r="N130" s="19">
        <v>6.0</v>
      </c>
      <c r="O130" s="17">
        <v>850.0</v>
      </c>
      <c r="P130" s="16"/>
      <c r="Q130" s="18"/>
      <c r="R130" s="16" t="s">
        <v>15</v>
      </c>
      <c r="S130" s="14">
        <f t="shared" si="2"/>
        <v>46039</v>
      </c>
      <c r="T130" s="8"/>
      <c r="U130" s="8"/>
      <c r="V130" s="8"/>
      <c r="W130" s="8"/>
      <c r="X130" s="8"/>
      <c r="Y130" s="8"/>
      <c r="Z130" s="8"/>
    </row>
    <row r="131" ht="22.5" customHeight="1">
      <c r="A131" s="9" t="str">
        <f t="shared" si="1"/>
        <v>LEA-0130</v>
      </c>
      <c r="B131" s="20">
        <v>45996.0</v>
      </c>
      <c r="C131" s="16" t="s">
        <v>39</v>
      </c>
      <c r="D131" s="16" t="s">
        <v>62</v>
      </c>
      <c r="E131" s="17" t="s">
        <v>322</v>
      </c>
      <c r="F131" s="17">
        <v>9.449132564E9</v>
      </c>
      <c r="G131" s="17"/>
      <c r="H131" s="17"/>
      <c r="I131" s="17" t="s">
        <v>308</v>
      </c>
      <c r="J131" s="17" t="s">
        <v>308</v>
      </c>
      <c r="K131" s="16" t="s">
        <v>77</v>
      </c>
      <c r="L131" s="17">
        <v>4.0</v>
      </c>
      <c r="M131" s="16" t="s">
        <v>16</v>
      </c>
      <c r="N131" s="19">
        <v>25.0</v>
      </c>
      <c r="O131" s="17">
        <v>2400.0</v>
      </c>
      <c r="P131" s="16"/>
      <c r="Q131" s="18"/>
      <c r="R131" s="16" t="s">
        <v>15</v>
      </c>
      <c r="S131" s="14">
        <f t="shared" si="2"/>
        <v>46039</v>
      </c>
      <c r="T131" s="8"/>
      <c r="U131" s="8"/>
      <c r="V131" s="8"/>
      <c r="W131" s="8"/>
      <c r="X131" s="8"/>
      <c r="Y131" s="8"/>
      <c r="Z131" s="8"/>
    </row>
    <row r="132" ht="22.5" customHeight="1">
      <c r="A132" s="9" t="str">
        <f t="shared" si="1"/>
        <v>LEA-0131</v>
      </c>
      <c r="B132" s="20">
        <v>45996.0</v>
      </c>
      <c r="C132" s="16" t="s">
        <v>39</v>
      </c>
      <c r="D132" s="16" t="s">
        <v>62</v>
      </c>
      <c r="E132" s="17" t="s">
        <v>323</v>
      </c>
      <c r="F132" s="17">
        <v>9.480057786E9</v>
      </c>
      <c r="G132" s="17"/>
      <c r="H132" s="17"/>
      <c r="I132" s="17" t="s">
        <v>308</v>
      </c>
      <c r="J132" s="17" t="s">
        <v>308</v>
      </c>
      <c r="K132" s="16" t="s">
        <v>77</v>
      </c>
      <c r="L132" s="17">
        <v>10.0</v>
      </c>
      <c r="M132" s="16" t="s">
        <v>16</v>
      </c>
      <c r="N132" s="19">
        <v>10.0</v>
      </c>
      <c r="O132" s="17">
        <v>6000.0</v>
      </c>
      <c r="P132" s="16"/>
      <c r="Q132" s="18"/>
      <c r="R132" s="16" t="s">
        <v>15</v>
      </c>
      <c r="S132" s="14">
        <f t="shared" si="2"/>
        <v>46039</v>
      </c>
      <c r="T132" s="8"/>
      <c r="U132" s="8"/>
      <c r="V132" s="8"/>
      <c r="W132" s="8"/>
      <c r="X132" s="8"/>
      <c r="Y132" s="8"/>
      <c r="Z132" s="8"/>
    </row>
    <row r="133" ht="22.5" customHeight="1">
      <c r="A133" s="9" t="str">
        <f t="shared" si="1"/>
        <v>LEA-0132</v>
      </c>
      <c r="B133" s="20">
        <v>45996.0</v>
      </c>
      <c r="C133" s="16" t="s">
        <v>39</v>
      </c>
      <c r="D133" s="16" t="s">
        <v>62</v>
      </c>
      <c r="E133" s="17" t="s">
        <v>324</v>
      </c>
      <c r="F133" s="17">
        <v>9.980572192E9</v>
      </c>
      <c r="G133" s="17"/>
      <c r="H133" s="17"/>
      <c r="I133" s="17" t="s">
        <v>308</v>
      </c>
      <c r="J133" s="17" t="s">
        <v>308</v>
      </c>
      <c r="K133" s="16" t="s">
        <v>77</v>
      </c>
      <c r="L133" s="17">
        <v>20.0</v>
      </c>
      <c r="M133" s="16" t="s">
        <v>16</v>
      </c>
      <c r="N133" s="19">
        <v>25.0</v>
      </c>
      <c r="O133" s="17">
        <v>12000.0</v>
      </c>
      <c r="P133" s="16"/>
      <c r="Q133" s="18"/>
      <c r="R133" s="16" t="s">
        <v>15</v>
      </c>
      <c r="S133" s="14">
        <f t="shared" si="2"/>
        <v>46039</v>
      </c>
      <c r="T133" s="8"/>
      <c r="U133" s="8"/>
      <c r="V133" s="8"/>
      <c r="W133" s="8"/>
      <c r="X133" s="8"/>
      <c r="Y133" s="8"/>
      <c r="Z133" s="8"/>
    </row>
    <row r="134" ht="22.5" customHeight="1">
      <c r="A134" s="9" t="str">
        <f t="shared" si="1"/>
        <v>LEA-0133</v>
      </c>
      <c r="B134" s="20">
        <v>45996.0</v>
      </c>
      <c r="C134" s="16" t="s">
        <v>39</v>
      </c>
      <c r="D134" s="16" t="s">
        <v>62</v>
      </c>
      <c r="E134" s="17" t="s">
        <v>325</v>
      </c>
      <c r="F134" s="17">
        <v>9.480932186E9</v>
      </c>
      <c r="G134" s="17"/>
      <c r="H134" s="17"/>
      <c r="I134" s="17" t="s">
        <v>321</v>
      </c>
      <c r="J134" s="17" t="s">
        <v>308</v>
      </c>
      <c r="K134" s="16" t="s">
        <v>77</v>
      </c>
      <c r="L134" s="17">
        <v>2.5</v>
      </c>
      <c r="M134" s="16" t="s">
        <v>16</v>
      </c>
      <c r="N134" s="19">
        <v>10.0</v>
      </c>
      <c r="O134" s="17">
        <v>1500.0</v>
      </c>
      <c r="P134" s="16"/>
      <c r="Q134" s="18"/>
      <c r="R134" s="16" t="s">
        <v>15</v>
      </c>
      <c r="S134" s="14">
        <f t="shared" si="2"/>
        <v>46039</v>
      </c>
      <c r="T134" s="8"/>
      <c r="U134" s="8"/>
      <c r="V134" s="8"/>
      <c r="W134" s="8"/>
      <c r="X134" s="8"/>
      <c r="Y134" s="8"/>
      <c r="Z134" s="8"/>
    </row>
    <row r="135" ht="22.5" customHeight="1">
      <c r="A135" s="9" t="str">
        <f t="shared" si="1"/>
        <v>LEA-0134</v>
      </c>
      <c r="B135" s="20">
        <v>45996.0</v>
      </c>
      <c r="C135" s="16" t="s">
        <v>70</v>
      </c>
      <c r="D135" s="16" t="s">
        <v>62</v>
      </c>
      <c r="E135" s="17" t="s">
        <v>326</v>
      </c>
      <c r="F135" s="17">
        <v>9.73152787E9</v>
      </c>
      <c r="G135" s="17"/>
      <c r="H135" s="17"/>
      <c r="I135" s="17" t="s">
        <v>305</v>
      </c>
      <c r="J135" s="17" t="s">
        <v>155</v>
      </c>
      <c r="K135" s="16" t="s">
        <v>79</v>
      </c>
      <c r="L135" s="17">
        <v>4.1</v>
      </c>
      <c r="M135" s="16" t="s">
        <v>16</v>
      </c>
      <c r="N135" s="19"/>
      <c r="O135" s="17">
        <v>2500.0</v>
      </c>
      <c r="P135" s="16"/>
      <c r="Q135" s="18"/>
      <c r="R135" s="16" t="s">
        <v>15</v>
      </c>
      <c r="S135" s="14">
        <f t="shared" si="2"/>
        <v>46039</v>
      </c>
      <c r="T135" s="8"/>
      <c r="U135" s="8"/>
      <c r="V135" s="8"/>
      <c r="W135" s="8"/>
      <c r="X135" s="8"/>
      <c r="Y135" s="8"/>
      <c r="Z135" s="8"/>
    </row>
    <row r="136" ht="22.5" customHeight="1">
      <c r="A136" s="9" t="str">
        <f t="shared" si="1"/>
        <v>LEA-0135</v>
      </c>
      <c r="B136" s="20">
        <v>45996.0</v>
      </c>
      <c r="C136" s="16" t="s">
        <v>70</v>
      </c>
      <c r="D136" s="16" t="s">
        <v>62</v>
      </c>
      <c r="E136" s="17" t="s">
        <v>327</v>
      </c>
      <c r="F136" s="17">
        <v>9.844397479E9</v>
      </c>
      <c r="G136" s="17"/>
      <c r="H136" s="17"/>
      <c r="I136" s="17" t="s">
        <v>328</v>
      </c>
      <c r="J136" s="17" t="s">
        <v>155</v>
      </c>
      <c r="K136" s="16" t="s">
        <v>79</v>
      </c>
      <c r="L136" s="17">
        <v>4.6</v>
      </c>
      <c r="M136" s="16" t="s">
        <v>16</v>
      </c>
      <c r="N136" s="19"/>
      <c r="O136" s="17">
        <v>2800.0</v>
      </c>
      <c r="P136" s="16"/>
      <c r="Q136" s="18"/>
      <c r="R136" s="16" t="s">
        <v>15</v>
      </c>
      <c r="S136" s="14">
        <f t="shared" si="2"/>
        <v>46039</v>
      </c>
      <c r="T136" s="8"/>
      <c r="U136" s="8"/>
      <c r="V136" s="8"/>
      <c r="W136" s="8"/>
      <c r="X136" s="8"/>
      <c r="Y136" s="8"/>
      <c r="Z136" s="8"/>
    </row>
    <row r="137" ht="22.5" customHeight="1">
      <c r="A137" s="9" t="str">
        <f t="shared" si="1"/>
        <v>LEA-0136</v>
      </c>
      <c r="B137" s="20">
        <v>45996.0</v>
      </c>
      <c r="C137" s="16" t="s">
        <v>70</v>
      </c>
      <c r="D137" s="16" t="s">
        <v>62</v>
      </c>
      <c r="E137" s="17" t="s">
        <v>329</v>
      </c>
      <c r="F137" s="17">
        <v>9.243963003E9</v>
      </c>
      <c r="G137" s="17"/>
      <c r="H137" s="17"/>
      <c r="I137" s="17" t="s">
        <v>328</v>
      </c>
      <c r="J137" s="17" t="s">
        <v>155</v>
      </c>
      <c r="K137" s="16" t="s">
        <v>79</v>
      </c>
      <c r="L137" s="17">
        <v>5.0</v>
      </c>
      <c r="M137" s="16" t="s">
        <v>16</v>
      </c>
      <c r="N137" s="19"/>
      <c r="O137" s="17">
        <v>3000.0</v>
      </c>
      <c r="P137" s="16"/>
      <c r="Q137" s="18"/>
      <c r="R137" s="16" t="s">
        <v>15</v>
      </c>
      <c r="S137" s="14">
        <f t="shared" si="2"/>
        <v>46039</v>
      </c>
      <c r="T137" s="8"/>
      <c r="U137" s="8"/>
      <c r="V137" s="8"/>
      <c r="W137" s="8"/>
      <c r="X137" s="8"/>
      <c r="Y137" s="8"/>
      <c r="Z137" s="8"/>
    </row>
    <row r="138" ht="22.5" customHeight="1">
      <c r="A138" s="9" t="str">
        <f t="shared" si="1"/>
        <v>LEA-0137</v>
      </c>
      <c r="B138" s="20">
        <v>45996.0</v>
      </c>
      <c r="C138" s="16" t="s">
        <v>70</v>
      </c>
      <c r="D138" s="16" t="s">
        <v>62</v>
      </c>
      <c r="E138" s="17" t="s">
        <v>330</v>
      </c>
      <c r="F138" s="17">
        <v>9.110368845E9</v>
      </c>
      <c r="G138" s="17"/>
      <c r="H138" s="17"/>
      <c r="I138" s="17" t="s">
        <v>328</v>
      </c>
      <c r="J138" s="17" t="s">
        <v>155</v>
      </c>
      <c r="K138" s="16" t="s">
        <v>79</v>
      </c>
      <c r="L138" s="17">
        <v>2.0</v>
      </c>
      <c r="M138" s="16" t="s">
        <v>16</v>
      </c>
      <c r="N138" s="19"/>
      <c r="O138" s="17">
        <v>1200.0</v>
      </c>
      <c r="P138" s="16"/>
      <c r="Q138" s="18"/>
      <c r="R138" s="16" t="s">
        <v>15</v>
      </c>
      <c r="S138" s="14">
        <f t="shared" si="2"/>
        <v>46039</v>
      </c>
      <c r="T138" s="8"/>
      <c r="U138" s="8"/>
      <c r="V138" s="8"/>
      <c r="W138" s="8"/>
      <c r="X138" s="8"/>
      <c r="Y138" s="8"/>
      <c r="Z138" s="8"/>
    </row>
    <row r="139" ht="22.5" customHeight="1">
      <c r="A139" s="9" t="str">
        <f t="shared" si="1"/>
        <v>LEA-0138</v>
      </c>
      <c r="B139" s="20">
        <v>45996.0</v>
      </c>
      <c r="C139" s="16" t="s">
        <v>70</v>
      </c>
      <c r="D139" s="16" t="s">
        <v>62</v>
      </c>
      <c r="E139" s="17" t="s">
        <v>331</v>
      </c>
      <c r="F139" s="17">
        <v>9.886804763E9</v>
      </c>
      <c r="G139" s="17"/>
      <c r="H139" s="17"/>
      <c r="I139" s="17" t="s">
        <v>302</v>
      </c>
      <c r="J139" s="17" t="s">
        <v>155</v>
      </c>
      <c r="K139" s="16" t="s">
        <v>79</v>
      </c>
      <c r="L139" s="17">
        <v>1.5</v>
      </c>
      <c r="M139" s="16" t="s">
        <v>16</v>
      </c>
      <c r="N139" s="19"/>
      <c r="O139" s="17">
        <v>900.0</v>
      </c>
      <c r="P139" s="16"/>
      <c r="Q139" s="18"/>
      <c r="R139" s="16" t="s">
        <v>15</v>
      </c>
      <c r="S139" s="14">
        <f t="shared" si="2"/>
        <v>46039</v>
      </c>
      <c r="T139" s="8"/>
      <c r="U139" s="8"/>
      <c r="V139" s="8"/>
      <c r="W139" s="8"/>
      <c r="X139" s="8"/>
      <c r="Y139" s="8"/>
      <c r="Z139" s="8"/>
    </row>
    <row r="140" ht="22.5" customHeight="1">
      <c r="A140" s="9" t="str">
        <f t="shared" si="1"/>
        <v>LEA-0139</v>
      </c>
      <c r="B140" s="20">
        <v>45996.0</v>
      </c>
      <c r="C140" s="16" t="s">
        <v>70</v>
      </c>
      <c r="D140" s="16" t="s">
        <v>62</v>
      </c>
      <c r="E140" s="17" t="s">
        <v>332</v>
      </c>
      <c r="F140" s="17">
        <v>7.349437952E9</v>
      </c>
      <c r="G140" s="17"/>
      <c r="H140" s="17"/>
      <c r="I140" s="17" t="s">
        <v>333</v>
      </c>
      <c r="J140" s="17" t="s">
        <v>155</v>
      </c>
      <c r="K140" s="16" t="s">
        <v>79</v>
      </c>
      <c r="L140" s="17">
        <v>5.3</v>
      </c>
      <c r="M140" s="16" t="s">
        <v>16</v>
      </c>
      <c r="N140" s="19"/>
      <c r="O140" s="17">
        <v>3200.0</v>
      </c>
      <c r="P140" s="16"/>
      <c r="Q140" s="18"/>
      <c r="R140" s="16" t="s">
        <v>15</v>
      </c>
      <c r="S140" s="14">
        <f t="shared" si="2"/>
        <v>46039</v>
      </c>
      <c r="T140" s="8"/>
      <c r="U140" s="8"/>
      <c r="V140" s="8"/>
      <c r="W140" s="8"/>
      <c r="X140" s="8"/>
      <c r="Y140" s="8"/>
      <c r="Z140" s="8"/>
    </row>
    <row r="141" ht="22.5" customHeight="1">
      <c r="A141" s="9" t="str">
        <f t="shared" si="1"/>
        <v>LEA-0140</v>
      </c>
      <c r="B141" s="20">
        <v>45996.0</v>
      </c>
      <c r="C141" s="16" t="s">
        <v>70</v>
      </c>
      <c r="D141" s="16" t="s">
        <v>62</v>
      </c>
      <c r="E141" s="17" t="s">
        <v>334</v>
      </c>
      <c r="F141" s="17">
        <v>9.900676713E9</v>
      </c>
      <c r="G141" s="17"/>
      <c r="H141" s="17"/>
      <c r="I141" s="17" t="s">
        <v>333</v>
      </c>
      <c r="J141" s="17" t="s">
        <v>155</v>
      </c>
      <c r="K141" s="16" t="s">
        <v>79</v>
      </c>
      <c r="L141" s="17">
        <v>3.3</v>
      </c>
      <c r="M141" s="16" t="s">
        <v>16</v>
      </c>
      <c r="N141" s="19"/>
      <c r="O141" s="17">
        <v>2000.0</v>
      </c>
      <c r="P141" s="16"/>
      <c r="Q141" s="18"/>
      <c r="R141" s="16" t="s">
        <v>15</v>
      </c>
      <c r="S141" s="14">
        <f t="shared" si="2"/>
        <v>46039</v>
      </c>
      <c r="T141" s="8"/>
      <c r="U141" s="8"/>
      <c r="V141" s="8"/>
      <c r="W141" s="8"/>
      <c r="X141" s="8"/>
      <c r="Y141" s="8"/>
      <c r="Z141" s="8"/>
    </row>
    <row r="142" ht="22.5" customHeight="1">
      <c r="A142" s="9" t="str">
        <f t="shared" si="1"/>
        <v>LEA-0141</v>
      </c>
      <c r="B142" s="20">
        <v>45997.0</v>
      </c>
      <c r="C142" s="16" t="s">
        <v>70</v>
      </c>
      <c r="D142" s="16" t="s">
        <v>62</v>
      </c>
      <c r="E142" s="17" t="s">
        <v>335</v>
      </c>
      <c r="F142" s="17">
        <v>9.880830949E9</v>
      </c>
      <c r="G142" s="17"/>
      <c r="H142" s="17"/>
      <c r="I142" s="17" t="s">
        <v>336</v>
      </c>
      <c r="J142" s="17" t="s">
        <v>230</v>
      </c>
      <c r="K142" s="16" t="s">
        <v>79</v>
      </c>
      <c r="L142" s="17"/>
      <c r="M142" s="16" t="s">
        <v>16</v>
      </c>
      <c r="N142" s="19"/>
      <c r="O142" s="17"/>
      <c r="P142" s="16"/>
      <c r="Q142" s="18"/>
      <c r="R142" s="16" t="s">
        <v>15</v>
      </c>
      <c r="S142" s="14">
        <f t="shared" si="2"/>
        <v>46039</v>
      </c>
      <c r="T142" s="8"/>
      <c r="U142" s="8"/>
      <c r="V142" s="8"/>
      <c r="W142" s="8"/>
      <c r="X142" s="8"/>
      <c r="Y142" s="8"/>
      <c r="Z142" s="8"/>
    </row>
    <row r="143" ht="22.5" customHeight="1">
      <c r="A143" s="9" t="str">
        <f t="shared" si="1"/>
        <v>LEA-0142</v>
      </c>
      <c r="B143" s="20">
        <v>45997.0</v>
      </c>
      <c r="C143" s="16" t="s">
        <v>39</v>
      </c>
      <c r="D143" s="16" t="s">
        <v>62</v>
      </c>
      <c r="E143" s="17" t="s">
        <v>337</v>
      </c>
      <c r="F143" s="17">
        <v>9.482079206E9</v>
      </c>
      <c r="G143" s="17"/>
      <c r="H143" s="17"/>
      <c r="I143" s="17" t="s">
        <v>338</v>
      </c>
      <c r="J143" s="17" t="s">
        <v>77</v>
      </c>
      <c r="K143" s="16" t="s">
        <v>77</v>
      </c>
      <c r="L143" s="17">
        <v>5.0</v>
      </c>
      <c r="M143" s="16" t="s">
        <v>16</v>
      </c>
      <c r="N143" s="19">
        <v>30.0</v>
      </c>
      <c r="O143" s="17">
        <v>3000.0</v>
      </c>
      <c r="P143" s="16"/>
      <c r="Q143" s="18"/>
      <c r="R143" s="16" t="s">
        <v>15</v>
      </c>
      <c r="S143" s="14">
        <f t="shared" si="2"/>
        <v>46039</v>
      </c>
      <c r="T143" s="8"/>
      <c r="U143" s="8"/>
      <c r="V143" s="8"/>
      <c r="W143" s="8"/>
      <c r="X143" s="8"/>
      <c r="Y143" s="8"/>
      <c r="Z143" s="8"/>
    </row>
    <row r="144" ht="22.5" customHeight="1">
      <c r="A144" s="9" t="str">
        <f t="shared" si="1"/>
        <v>LEA-0143</v>
      </c>
      <c r="B144" s="20">
        <v>45997.0</v>
      </c>
      <c r="C144" s="16" t="s">
        <v>39</v>
      </c>
      <c r="D144" s="16" t="s">
        <v>62</v>
      </c>
      <c r="E144" s="17" t="s">
        <v>339</v>
      </c>
      <c r="F144" s="17">
        <v>9.480029425E9</v>
      </c>
      <c r="G144" s="17">
        <v>6.364759502E9</v>
      </c>
      <c r="H144" s="17"/>
      <c r="I144" s="17" t="s">
        <v>340</v>
      </c>
      <c r="J144" s="17" t="s">
        <v>77</v>
      </c>
      <c r="K144" s="16" t="s">
        <v>77</v>
      </c>
      <c r="L144" s="17">
        <v>4.0</v>
      </c>
      <c r="M144" s="16" t="s">
        <v>16</v>
      </c>
      <c r="N144" s="19">
        <v>25.0</v>
      </c>
      <c r="O144" s="17">
        <v>2400.0</v>
      </c>
      <c r="P144" s="16"/>
      <c r="Q144" s="18"/>
      <c r="R144" s="16" t="s">
        <v>15</v>
      </c>
      <c r="S144" s="14">
        <f t="shared" si="2"/>
        <v>46039</v>
      </c>
      <c r="T144" s="8"/>
      <c r="U144" s="8"/>
      <c r="V144" s="8"/>
      <c r="W144" s="8"/>
      <c r="X144" s="8"/>
      <c r="Y144" s="8"/>
      <c r="Z144" s="8"/>
    </row>
    <row r="145" ht="22.5" customHeight="1">
      <c r="A145" s="9" t="str">
        <f t="shared" si="1"/>
        <v>LEA-0144</v>
      </c>
      <c r="B145" s="20">
        <v>45997.0</v>
      </c>
      <c r="C145" s="16" t="s">
        <v>39</v>
      </c>
      <c r="D145" s="16" t="s">
        <v>62</v>
      </c>
      <c r="E145" s="17" t="s">
        <v>146</v>
      </c>
      <c r="F145" s="17">
        <v>9.739454538E9</v>
      </c>
      <c r="G145" s="17">
        <v>9.742255351E9</v>
      </c>
      <c r="H145" s="17"/>
      <c r="I145" s="17" t="s">
        <v>341</v>
      </c>
      <c r="J145" s="17" t="s">
        <v>77</v>
      </c>
      <c r="K145" s="16" t="s">
        <v>77</v>
      </c>
      <c r="L145" s="17">
        <v>30.0</v>
      </c>
      <c r="M145" s="16" t="s">
        <v>16</v>
      </c>
      <c r="N145" s="19">
        <v>30.0</v>
      </c>
      <c r="O145" s="17">
        <v>18000.0</v>
      </c>
      <c r="P145" s="16"/>
      <c r="Q145" s="18"/>
      <c r="R145" s="16" t="s">
        <v>15</v>
      </c>
      <c r="S145" s="14">
        <f t="shared" si="2"/>
        <v>46039</v>
      </c>
      <c r="T145" s="8"/>
      <c r="U145" s="8"/>
      <c r="V145" s="8"/>
      <c r="W145" s="8"/>
      <c r="X145" s="8"/>
      <c r="Y145" s="8"/>
      <c r="Z145" s="8"/>
    </row>
    <row r="146" ht="22.5" customHeight="1">
      <c r="A146" s="9" t="str">
        <f t="shared" si="1"/>
        <v>LEA-0145</v>
      </c>
      <c r="B146" s="20">
        <v>45997.0</v>
      </c>
      <c r="C146" s="16" t="s">
        <v>39</v>
      </c>
      <c r="D146" s="16" t="s">
        <v>62</v>
      </c>
      <c r="E146" s="17" t="s">
        <v>342</v>
      </c>
      <c r="F146" s="17">
        <v>9.538176218E9</v>
      </c>
      <c r="G146" s="17"/>
      <c r="H146" s="17"/>
      <c r="I146" s="17" t="s">
        <v>341</v>
      </c>
      <c r="J146" s="17" t="s">
        <v>77</v>
      </c>
      <c r="K146" s="16" t="s">
        <v>77</v>
      </c>
      <c r="L146" s="17">
        <v>3.0</v>
      </c>
      <c r="M146" s="16" t="s">
        <v>16</v>
      </c>
      <c r="N146" s="19">
        <v>20.0</v>
      </c>
      <c r="O146" s="17">
        <v>1800.0</v>
      </c>
      <c r="P146" s="16"/>
      <c r="Q146" s="18"/>
      <c r="R146" s="16" t="s">
        <v>15</v>
      </c>
      <c r="S146" s="14">
        <f t="shared" si="2"/>
        <v>46039</v>
      </c>
      <c r="T146" s="8"/>
      <c r="U146" s="8"/>
      <c r="V146" s="8"/>
      <c r="W146" s="8"/>
      <c r="X146" s="8"/>
      <c r="Y146" s="8"/>
      <c r="Z146" s="8"/>
    </row>
    <row r="147" ht="22.5" customHeight="1">
      <c r="A147" s="9" t="str">
        <f t="shared" si="1"/>
        <v>LEA-0146</v>
      </c>
      <c r="B147" s="20">
        <v>45997.0</v>
      </c>
      <c r="C147" s="16" t="s">
        <v>39</v>
      </c>
      <c r="D147" s="16" t="s">
        <v>62</v>
      </c>
      <c r="E147" s="17" t="s">
        <v>343</v>
      </c>
      <c r="F147" s="17">
        <v>9.48149388E9</v>
      </c>
      <c r="G147" s="17"/>
      <c r="H147" s="17"/>
      <c r="I147" s="17" t="s">
        <v>344</v>
      </c>
      <c r="J147" s="17" t="s">
        <v>345</v>
      </c>
      <c r="K147" s="16" t="s">
        <v>77</v>
      </c>
      <c r="L147" s="17">
        <v>30.0</v>
      </c>
      <c r="M147" s="16" t="s">
        <v>16</v>
      </c>
      <c r="N147" s="19">
        <v>30.0</v>
      </c>
      <c r="O147" s="17">
        <v>18000.0</v>
      </c>
      <c r="P147" s="16"/>
      <c r="Q147" s="18"/>
      <c r="R147" s="16" t="s">
        <v>15</v>
      </c>
      <c r="S147" s="14">
        <f t="shared" si="2"/>
        <v>46039</v>
      </c>
      <c r="T147" s="8"/>
      <c r="U147" s="8"/>
      <c r="V147" s="8"/>
      <c r="W147" s="8"/>
      <c r="X147" s="8"/>
      <c r="Y147" s="8"/>
      <c r="Z147" s="8"/>
    </row>
    <row r="148" ht="22.5" customHeight="1">
      <c r="A148" s="9" t="str">
        <f t="shared" si="1"/>
        <v>LEA-0147</v>
      </c>
      <c r="B148" s="20">
        <v>45997.0</v>
      </c>
      <c r="C148" s="16" t="s">
        <v>39</v>
      </c>
      <c r="D148" s="16" t="s">
        <v>62</v>
      </c>
      <c r="E148" s="17" t="s">
        <v>346</v>
      </c>
      <c r="F148" s="17">
        <v>9.844034259E9</v>
      </c>
      <c r="G148" s="17"/>
      <c r="H148" s="17"/>
      <c r="I148" s="17" t="s">
        <v>338</v>
      </c>
      <c r="J148" s="17" t="s">
        <v>345</v>
      </c>
      <c r="K148" s="16" t="s">
        <v>77</v>
      </c>
      <c r="L148" s="17">
        <v>4.0</v>
      </c>
      <c r="M148" s="16" t="s">
        <v>16</v>
      </c>
      <c r="N148" s="19">
        <v>15.0</v>
      </c>
      <c r="O148" s="17">
        <v>2400.0</v>
      </c>
      <c r="P148" s="16"/>
      <c r="Q148" s="18"/>
      <c r="R148" s="16" t="s">
        <v>15</v>
      </c>
      <c r="S148" s="14">
        <f t="shared" si="2"/>
        <v>46039</v>
      </c>
      <c r="T148" s="8"/>
      <c r="U148" s="8"/>
      <c r="V148" s="8"/>
      <c r="W148" s="8"/>
      <c r="X148" s="8"/>
      <c r="Y148" s="8"/>
      <c r="Z148" s="8"/>
    </row>
    <row r="149" ht="22.5" customHeight="1">
      <c r="A149" s="9" t="str">
        <f t="shared" si="1"/>
        <v>LEA-0148</v>
      </c>
      <c r="B149" s="20">
        <v>45997.0</v>
      </c>
      <c r="C149" s="16" t="s">
        <v>39</v>
      </c>
      <c r="D149" s="16" t="s">
        <v>62</v>
      </c>
      <c r="E149" s="17" t="s">
        <v>347</v>
      </c>
      <c r="F149" s="17">
        <v>9.535404502E9</v>
      </c>
      <c r="G149" s="17"/>
      <c r="H149" s="17"/>
      <c r="I149" s="17" t="s">
        <v>348</v>
      </c>
      <c r="J149" s="17" t="s">
        <v>77</v>
      </c>
      <c r="K149" s="16" t="s">
        <v>77</v>
      </c>
      <c r="L149" s="17">
        <v>15.0</v>
      </c>
      <c r="M149" s="16" t="s">
        <v>16</v>
      </c>
      <c r="N149" s="19">
        <v>30.0</v>
      </c>
      <c r="O149" s="17">
        <v>9000.0</v>
      </c>
      <c r="P149" s="16"/>
      <c r="Q149" s="18"/>
      <c r="R149" s="16" t="s">
        <v>15</v>
      </c>
      <c r="S149" s="14">
        <f t="shared" si="2"/>
        <v>46039</v>
      </c>
      <c r="T149" s="8"/>
      <c r="U149" s="8"/>
      <c r="V149" s="8"/>
      <c r="W149" s="8"/>
      <c r="X149" s="8"/>
      <c r="Y149" s="8"/>
      <c r="Z149" s="8"/>
    </row>
    <row r="150" ht="22.5" customHeight="1">
      <c r="A150" s="9" t="str">
        <f t="shared" si="1"/>
        <v>LEA-0149</v>
      </c>
      <c r="B150" s="20">
        <v>45997.0</v>
      </c>
      <c r="C150" s="16" t="s">
        <v>39</v>
      </c>
      <c r="D150" s="16" t="s">
        <v>62</v>
      </c>
      <c r="E150" s="17" t="s">
        <v>349</v>
      </c>
      <c r="F150" s="17">
        <v>6.364746325E9</v>
      </c>
      <c r="G150" s="17"/>
      <c r="H150" s="17"/>
      <c r="I150" s="17" t="s">
        <v>348</v>
      </c>
      <c r="J150" s="17" t="s">
        <v>77</v>
      </c>
      <c r="K150" s="16" t="s">
        <v>77</v>
      </c>
      <c r="L150" s="17">
        <v>10.0</v>
      </c>
      <c r="M150" s="16" t="s">
        <v>16</v>
      </c>
      <c r="N150" s="19">
        <v>30.0</v>
      </c>
      <c r="O150" s="17">
        <v>6000.0</v>
      </c>
      <c r="P150" s="16"/>
      <c r="Q150" s="18"/>
      <c r="R150" s="16" t="s">
        <v>15</v>
      </c>
      <c r="S150" s="14">
        <f t="shared" si="2"/>
        <v>46039</v>
      </c>
      <c r="T150" s="8"/>
      <c r="U150" s="8"/>
      <c r="V150" s="8"/>
      <c r="W150" s="8"/>
      <c r="X150" s="8"/>
      <c r="Y150" s="8"/>
      <c r="Z150" s="8"/>
    </row>
    <row r="151" ht="22.5" customHeight="1">
      <c r="A151" s="9" t="str">
        <f t="shared" si="1"/>
        <v>LEA-0150</v>
      </c>
      <c r="B151" s="20">
        <v>46000.0</v>
      </c>
      <c r="C151" s="16" t="s">
        <v>39</v>
      </c>
      <c r="D151" s="16" t="s">
        <v>62</v>
      </c>
      <c r="E151" s="17" t="s">
        <v>350</v>
      </c>
      <c r="F151" s="17">
        <v>9.686209604E9</v>
      </c>
      <c r="G151" s="17"/>
      <c r="H151" s="17"/>
      <c r="I151" s="17" t="s">
        <v>351</v>
      </c>
      <c r="J151" s="17" t="s">
        <v>77</v>
      </c>
      <c r="K151" s="16" t="s">
        <v>77</v>
      </c>
      <c r="L151" s="17">
        <v>2.0</v>
      </c>
      <c r="M151" s="16" t="s">
        <v>16</v>
      </c>
      <c r="N151" s="19">
        <v>3.0</v>
      </c>
      <c r="O151" s="17">
        <v>1200.0</v>
      </c>
      <c r="P151" s="16"/>
      <c r="Q151" s="18"/>
      <c r="R151" s="16" t="s">
        <v>15</v>
      </c>
      <c r="S151" s="14">
        <f t="shared" si="2"/>
        <v>46039</v>
      </c>
      <c r="T151" s="8"/>
      <c r="U151" s="8"/>
      <c r="V151" s="8"/>
      <c r="W151" s="8"/>
      <c r="X151" s="8"/>
      <c r="Y151" s="8"/>
      <c r="Z151" s="8"/>
    </row>
    <row r="152" ht="22.5" customHeight="1">
      <c r="A152" s="9" t="str">
        <f t="shared" si="1"/>
        <v>LEA-0151</v>
      </c>
      <c r="B152" s="20">
        <v>46000.0</v>
      </c>
      <c r="C152" s="16" t="s">
        <v>39</v>
      </c>
      <c r="D152" s="16" t="s">
        <v>62</v>
      </c>
      <c r="E152" s="17" t="s">
        <v>352</v>
      </c>
      <c r="F152" s="17">
        <v>8.07363529E9</v>
      </c>
      <c r="G152" s="17">
        <v>9.844440421E9</v>
      </c>
      <c r="H152" s="17"/>
      <c r="I152" s="17" t="s">
        <v>351</v>
      </c>
      <c r="J152" s="17" t="s">
        <v>353</v>
      </c>
      <c r="K152" s="16" t="s">
        <v>77</v>
      </c>
      <c r="L152" s="17">
        <v>15.0</v>
      </c>
      <c r="M152" s="16" t="s">
        <v>16</v>
      </c>
      <c r="N152" s="19">
        <v>15.0</v>
      </c>
      <c r="O152" s="17">
        <v>9000.0</v>
      </c>
      <c r="P152" s="16"/>
      <c r="Q152" s="18"/>
      <c r="R152" s="16" t="s">
        <v>15</v>
      </c>
      <c r="S152" s="14">
        <f t="shared" si="2"/>
        <v>46039</v>
      </c>
      <c r="T152" s="8"/>
      <c r="U152" s="8"/>
      <c r="V152" s="8"/>
      <c r="W152" s="8"/>
      <c r="X152" s="8"/>
      <c r="Y152" s="8"/>
      <c r="Z152" s="8"/>
    </row>
    <row r="153" ht="22.5" customHeight="1">
      <c r="A153" s="9" t="str">
        <f t="shared" si="1"/>
        <v>LEA-0152</v>
      </c>
      <c r="B153" s="20">
        <v>46000.0</v>
      </c>
      <c r="C153" s="16" t="s">
        <v>39</v>
      </c>
      <c r="D153" s="16" t="s">
        <v>62</v>
      </c>
      <c r="E153" s="17" t="s">
        <v>354</v>
      </c>
      <c r="F153" s="17">
        <v>7.019786528E9</v>
      </c>
      <c r="G153" s="17"/>
      <c r="H153" s="17"/>
      <c r="I153" s="17" t="s">
        <v>355</v>
      </c>
      <c r="J153" s="17" t="s">
        <v>356</v>
      </c>
      <c r="K153" s="16" t="s">
        <v>77</v>
      </c>
      <c r="L153" s="17">
        <v>8.0</v>
      </c>
      <c r="M153" s="16" t="s">
        <v>16</v>
      </c>
      <c r="N153" s="19">
        <v>18.0</v>
      </c>
      <c r="O153" s="17">
        <v>4800.0</v>
      </c>
      <c r="P153" s="16"/>
      <c r="Q153" s="18"/>
      <c r="R153" s="16" t="s">
        <v>15</v>
      </c>
      <c r="S153" s="14">
        <f t="shared" si="2"/>
        <v>46039</v>
      </c>
      <c r="T153" s="8"/>
      <c r="U153" s="8"/>
      <c r="V153" s="8"/>
      <c r="W153" s="8"/>
      <c r="X153" s="8"/>
      <c r="Y153" s="8"/>
      <c r="Z153" s="8"/>
    </row>
    <row r="154" ht="22.5" customHeight="1">
      <c r="A154" s="9" t="str">
        <f t="shared" si="1"/>
        <v>LEA-0153</v>
      </c>
      <c r="B154" s="20">
        <v>46000.0</v>
      </c>
      <c r="C154" s="16" t="s">
        <v>39</v>
      </c>
      <c r="D154" s="16" t="s">
        <v>62</v>
      </c>
      <c r="E154" s="17" t="s">
        <v>357</v>
      </c>
      <c r="F154" s="17">
        <v>9.448818807E9</v>
      </c>
      <c r="G154" s="17"/>
      <c r="H154" s="17"/>
      <c r="I154" s="17" t="s">
        <v>355</v>
      </c>
      <c r="J154" s="17" t="s">
        <v>356</v>
      </c>
      <c r="K154" s="16" t="s">
        <v>77</v>
      </c>
      <c r="L154" s="17">
        <v>2.5</v>
      </c>
      <c r="M154" s="16" t="s">
        <v>16</v>
      </c>
      <c r="N154" s="19">
        <v>15.0</v>
      </c>
      <c r="O154" s="17">
        <v>1500.0</v>
      </c>
      <c r="P154" s="16"/>
      <c r="Q154" s="18"/>
      <c r="R154" s="16" t="s">
        <v>15</v>
      </c>
      <c r="S154" s="14">
        <f t="shared" si="2"/>
        <v>46039</v>
      </c>
      <c r="T154" s="8"/>
      <c r="U154" s="8"/>
      <c r="V154" s="8"/>
      <c r="W154" s="8"/>
      <c r="X154" s="8"/>
      <c r="Y154" s="8"/>
      <c r="Z154" s="8"/>
    </row>
    <row r="155" ht="22.5" customHeight="1">
      <c r="A155" s="9" t="str">
        <f t="shared" si="1"/>
        <v>LEA-0154</v>
      </c>
      <c r="B155" s="20">
        <v>46000.0</v>
      </c>
      <c r="C155" s="16" t="s">
        <v>39</v>
      </c>
      <c r="D155" s="16" t="s">
        <v>62</v>
      </c>
      <c r="E155" s="17" t="s">
        <v>358</v>
      </c>
      <c r="F155" s="17">
        <v>9.663969625E9</v>
      </c>
      <c r="G155" s="17"/>
      <c r="H155" s="17"/>
      <c r="I155" s="17" t="s">
        <v>353</v>
      </c>
      <c r="J155" s="17" t="s">
        <v>353</v>
      </c>
      <c r="K155" s="16" t="s">
        <v>77</v>
      </c>
      <c r="L155" s="17">
        <v>3.3</v>
      </c>
      <c r="M155" s="16" t="s">
        <v>16</v>
      </c>
      <c r="N155" s="19">
        <v>18.0</v>
      </c>
      <c r="O155" s="17">
        <v>2000.0</v>
      </c>
      <c r="P155" s="16"/>
      <c r="Q155" s="18"/>
      <c r="R155" s="16" t="s">
        <v>15</v>
      </c>
      <c r="S155" s="14">
        <f t="shared" si="2"/>
        <v>46039</v>
      </c>
      <c r="T155" s="8"/>
      <c r="U155" s="8"/>
      <c r="V155" s="8"/>
      <c r="W155" s="8"/>
      <c r="X155" s="8"/>
      <c r="Y155" s="8"/>
      <c r="Z155" s="8"/>
    </row>
    <row r="156" ht="22.5" customHeight="1">
      <c r="A156" s="9" t="str">
        <f t="shared" si="1"/>
        <v>LEA-0155</v>
      </c>
      <c r="B156" s="20">
        <v>46000.0</v>
      </c>
      <c r="C156" s="16" t="s">
        <v>39</v>
      </c>
      <c r="D156" s="16" t="s">
        <v>62</v>
      </c>
      <c r="E156" s="17" t="s">
        <v>359</v>
      </c>
      <c r="F156" s="17">
        <v>9.900711259E9</v>
      </c>
      <c r="G156" s="17"/>
      <c r="H156" s="17"/>
      <c r="I156" s="17" t="s">
        <v>360</v>
      </c>
      <c r="J156" s="17" t="s">
        <v>353</v>
      </c>
      <c r="K156" s="16" t="s">
        <v>77</v>
      </c>
      <c r="L156" s="17">
        <v>5.0</v>
      </c>
      <c r="M156" s="16" t="s">
        <v>16</v>
      </c>
      <c r="N156" s="19">
        <v>18.0</v>
      </c>
      <c r="O156" s="17">
        <v>3000.0</v>
      </c>
      <c r="P156" s="16"/>
      <c r="Q156" s="18"/>
      <c r="R156" s="16" t="s">
        <v>15</v>
      </c>
      <c r="S156" s="14">
        <f t="shared" si="2"/>
        <v>46039</v>
      </c>
      <c r="T156" s="8"/>
      <c r="U156" s="8"/>
      <c r="V156" s="8"/>
      <c r="W156" s="8"/>
      <c r="X156" s="8"/>
      <c r="Y156" s="8"/>
      <c r="Z156" s="8"/>
    </row>
    <row r="157" ht="22.5" customHeight="1">
      <c r="A157" s="9" t="str">
        <f t="shared" si="1"/>
        <v>LEA-0156</v>
      </c>
      <c r="B157" s="20">
        <v>46000.0</v>
      </c>
      <c r="C157" s="16" t="s">
        <v>39</v>
      </c>
      <c r="D157" s="16" t="s">
        <v>62</v>
      </c>
      <c r="E157" s="17" t="s">
        <v>361</v>
      </c>
      <c r="F157" s="17">
        <v>8.217675846E9</v>
      </c>
      <c r="G157" s="17"/>
      <c r="H157" s="17"/>
      <c r="I157" s="17" t="s">
        <v>362</v>
      </c>
      <c r="J157" s="17" t="s">
        <v>353</v>
      </c>
      <c r="K157" s="16" t="s">
        <v>77</v>
      </c>
      <c r="L157" s="17">
        <v>3.3</v>
      </c>
      <c r="M157" s="16" t="s">
        <v>16</v>
      </c>
      <c r="N157" s="19">
        <v>15.0</v>
      </c>
      <c r="O157" s="17">
        <v>2000.0</v>
      </c>
      <c r="P157" s="16"/>
      <c r="Q157" s="18"/>
      <c r="R157" s="16" t="s">
        <v>15</v>
      </c>
      <c r="S157" s="14">
        <f t="shared" si="2"/>
        <v>46039</v>
      </c>
      <c r="T157" s="8"/>
      <c r="U157" s="8"/>
      <c r="V157" s="8"/>
      <c r="W157" s="8"/>
      <c r="X157" s="8"/>
      <c r="Y157" s="8"/>
      <c r="Z157" s="8"/>
    </row>
    <row r="158" ht="22.5" customHeight="1">
      <c r="A158" s="9" t="str">
        <f t="shared" si="1"/>
        <v>LEA-0157</v>
      </c>
      <c r="B158" s="20">
        <v>46000.0</v>
      </c>
      <c r="C158" s="16" t="s">
        <v>39</v>
      </c>
      <c r="D158" s="16" t="s">
        <v>62</v>
      </c>
      <c r="E158" s="17" t="s">
        <v>140</v>
      </c>
      <c r="F158" s="17">
        <v>8.088097306E9</v>
      </c>
      <c r="G158" s="17"/>
      <c r="H158" s="17"/>
      <c r="I158" s="17" t="s">
        <v>363</v>
      </c>
      <c r="J158" s="17" t="s">
        <v>353</v>
      </c>
      <c r="K158" s="16" t="s">
        <v>77</v>
      </c>
      <c r="L158" s="17">
        <v>3.3</v>
      </c>
      <c r="M158" s="16" t="s">
        <v>16</v>
      </c>
      <c r="N158" s="19">
        <v>15.0</v>
      </c>
      <c r="O158" s="17">
        <v>2000.0</v>
      </c>
      <c r="P158" s="16"/>
      <c r="Q158" s="18"/>
      <c r="R158" s="16" t="s">
        <v>15</v>
      </c>
      <c r="S158" s="14">
        <f t="shared" si="2"/>
        <v>46039</v>
      </c>
      <c r="T158" s="8"/>
      <c r="U158" s="8"/>
      <c r="V158" s="8"/>
      <c r="W158" s="8"/>
      <c r="X158" s="8"/>
      <c r="Y158" s="8"/>
      <c r="Z158" s="8"/>
    </row>
    <row r="159" ht="22.5" customHeight="1">
      <c r="A159" s="9" t="str">
        <f t="shared" si="1"/>
        <v>LEA-0158</v>
      </c>
      <c r="B159" s="20">
        <v>46000.0</v>
      </c>
      <c r="C159" s="16" t="s">
        <v>39</v>
      </c>
      <c r="D159" s="16" t="s">
        <v>62</v>
      </c>
      <c r="E159" s="17" t="s">
        <v>223</v>
      </c>
      <c r="F159" s="17">
        <v>8.747033354E9</v>
      </c>
      <c r="G159" s="17"/>
      <c r="H159" s="17"/>
      <c r="I159" s="17" t="s">
        <v>360</v>
      </c>
      <c r="J159" s="17" t="s">
        <v>353</v>
      </c>
      <c r="K159" s="16" t="s">
        <v>77</v>
      </c>
      <c r="L159" s="23">
        <v>8.3</v>
      </c>
      <c r="M159" s="24" t="s">
        <v>16</v>
      </c>
      <c r="N159" s="25">
        <v>35.0</v>
      </c>
      <c r="O159" s="23">
        <v>5000.0</v>
      </c>
      <c r="P159" s="16"/>
      <c r="Q159" s="18"/>
      <c r="R159" s="16" t="s">
        <v>15</v>
      </c>
      <c r="S159" s="14">
        <f t="shared" si="2"/>
        <v>46039</v>
      </c>
      <c r="T159" s="8"/>
      <c r="U159" s="8"/>
      <c r="V159" s="8"/>
      <c r="W159" s="8"/>
      <c r="X159" s="8"/>
      <c r="Y159" s="8"/>
      <c r="Z159" s="8"/>
    </row>
    <row r="160" ht="22.5" customHeight="1">
      <c r="A160" s="9" t="str">
        <f t="shared" si="1"/>
        <v>LEA-0159</v>
      </c>
      <c r="B160" s="20">
        <v>46000.0</v>
      </c>
      <c r="C160" s="16" t="s">
        <v>39</v>
      </c>
      <c r="D160" s="16" t="s">
        <v>62</v>
      </c>
      <c r="E160" s="17" t="s">
        <v>177</v>
      </c>
      <c r="F160" s="17">
        <v>9.880310148E9</v>
      </c>
      <c r="G160" s="17"/>
      <c r="H160" s="17"/>
      <c r="I160" s="17" t="s">
        <v>351</v>
      </c>
      <c r="J160" s="17" t="s">
        <v>353</v>
      </c>
      <c r="K160" s="16" t="s">
        <v>77</v>
      </c>
      <c r="L160" s="23">
        <v>4.0</v>
      </c>
      <c r="M160" s="24" t="s">
        <v>16</v>
      </c>
      <c r="N160" s="25">
        <v>8.0</v>
      </c>
      <c r="O160" s="23">
        <v>2400.0</v>
      </c>
      <c r="P160" s="16"/>
      <c r="Q160" s="18"/>
      <c r="R160" s="16" t="s">
        <v>15</v>
      </c>
      <c r="S160" s="14">
        <f t="shared" si="2"/>
        <v>46039</v>
      </c>
      <c r="T160" s="8"/>
      <c r="U160" s="8"/>
      <c r="V160" s="8"/>
      <c r="W160" s="8"/>
      <c r="X160" s="8"/>
      <c r="Y160" s="8"/>
      <c r="Z160" s="8"/>
    </row>
    <row r="161" ht="22.5" customHeight="1">
      <c r="A161" s="9" t="str">
        <f t="shared" si="1"/>
        <v>LEA-0160</v>
      </c>
      <c r="B161" s="20">
        <v>46001.0</v>
      </c>
      <c r="C161" s="16" t="s">
        <v>70</v>
      </c>
      <c r="D161" s="16" t="s">
        <v>62</v>
      </c>
      <c r="E161" s="17" t="s">
        <v>364</v>
      </c>
      <c r="F161" s="17">
        <v>9.845911436E9</v>
      </c>
      <c r="G161" s="17"/>
      <c r="H161" s="17"/>
      <c r="I161" s="17" t="s">
        <v>365</v>
      </c>
      <c r="J161" s="17" t="s">
        <v>230</v>
      </c>
      <c r="K161" s="16" t="s">
        <v>79</v>
      </c>
      <c r="L161" s="23">
        <v>3.3</v>
      </c>
      <c r="M161" s="24" t="s">
        <v>16</v>
      </c>
      <c r="N161" s="25"/>
      <c r="O161" s="23">
        <v>2000.0</v>
      </c>
      <c r="P161" s="16"/>
      <c r="Q161" s="18"/>
      <c r="R161" s="16" t="s">
        <v>15</v>
      </c>
      <c r="S161" s="9"/>
      <c r="T161" s="8"/>
      <c r="U161" s="8"/>
      <c r="V161" s="8"/>
      <c r="W161" s="8"/>
      <c r="X161" s="8"/>
      <c r="Y161" s="8"/>
      <c r="Z161" s="8"/>
    </row>
    <row r="162" ht="22.5" customHeight="1">
      <c r="A162" s="9" t="str">
        <f t="shared" si="1"/>
        <v>LEA-0161</v>
      </c>
      <c r="B162" s="20">
        <v>46001.0</v>
      </c>
      <c r="C162" s="16" t="s">
        <v>70</v>
      </c>
      <c r="D162" s="16" t="s">
        <v>62</v>
      </c>
      <c r="E162" s="17" t="s">
        <v>297</v>
      </c>
      <c r="F162" s="17">
        <v>9.448521165E9</v>
      </c>
      <c r="G162" s="17"/>
      <c r="H162" s="17"/>
      <c r="I162" s="17" t="s">
        <v>298</v>
      </c>
      <c r="J162" s="17" t="s">
        <v>230</v>
      </c>
      <c r="K162" s="16" t="s">
        <v>79</v>
      </c>
      <c r="L162" s="23">
        <v>4.1</v>
      </c>
      <c r="M162" s="24" t="s">
        <v>16</v>
      </c>
      <c r="N162" s="25"/>
      <c r="O162" s="23">
        <v>2500.0</v>
      </c>
      <c r="P162" s="16"/>
      <c r="Q162" s="18"/>
      <c r="R162" s="16" t="s">
        <v>15</v>
      </c>
      <c r="S162" s="9"/>
      <c r="T162" s="8"/>
      <c r="U162" s="8"/>
      <c r="V162" s="8"/>
      <c r="W162" s="8"/>
      <c r="X162" s="8"/>
      <c r="Y162" s="8"/>
      <c r="Z162" s="8"/>
    </row>
    <row r="163" ht="22.5" customHeight="1">
      <c r="A163" s="9" t="str">
        <f t="shared" si="1"/>
        <v>LEA-0162</v>
      </c>
      <c r="B163" s="20">
        <v>46001.0</v>
      </c>
      <c r="C163" s="16" t="s">
        <v>70</v>
      </c>
      <c r="D163" s="16" t="s">
        <v>62</v>
      </c>
      <c r="E163" s="17" t="s">
        <v>366</v>
      </c>
      <c r="F163" s="17">
        <v>9.481366202E9</v>
      </c>
      <c r="G163" s="17"/>
      <c r="H163" s="17"/>
      <c r="I163" s="17" t="s">
        <v>365</v>
      </c>
      <c r="J163" s="17" t="s">
        <v>230</v>
      </c>
      <c r="K163" s="16" t="s">
        <v>79</v>
      </c>
      <c r="L163" s="23">
        <v>6.6</v>
      </c>
      <c r="M163" s="24" t="s">
        <v>16</v>
      </c>
      <c r="N163" s="25"/>
      <c r="O163" s="23">
        <v>4000.0</v>
      </c>
      <c r="P163" s="16"/>
      <c r="Q163" s="18"/>
      <c r="R163" s="16" t="s">
        <v>15</v>
      </c>
      <c r="S163" s="9"/>
      <c r="T163" s="8"/>
      <c r="U163" s="8"/>
      <c r="V163" s="8"/>
      <c r="W163" s="8"/>
      <c r="X163" s="8"/>
      <c r="Y163" s="8"/>
      <c r="Z163" s="8"/>
    </row>
    <row r="164" ht="22.5" customHeight="1">
      <c r="A164" s="26" t="str">
        <f t="shared" si="1"/>
        <v>LEA-0163</v>
      </c>
      <c r="B164" s="27">
        <v>46002.0</v>
      </c>
      <c r="C164" s="28" t="s">
        <v>39</v>
      </c>
      <c r="D164" s="28" t="s">
        <v>62</v>
      </c>
      <c r="E164" s="29" t="s">
        <v>367</v>
      </c>
      <c r="F164" s="29">
        <v>9.743214597E9</v>
      </c>
      <c r="G164" s="30"/>
      <c r="H164" s="30"/>
      <c r="I164" s="29" t="s">
        <v>368</v>
      </c>
      <c r="J164" s="29" t="s">
        <v>77</v>
      </c>
      <c r="K164" s="28" t="s">
        <v>77</v>
      </c>
      <c r="L164" s="31">
        <v>4.0</v>
      </c>
      <c r="M164" s="32" t="s">
        <v>16</v>
      </c>
      <c r="N164" s="33">
        <v>50.0</v>
      </c>
      <c r="O164" s="31">
        <v>2400.0</v>
      </c>
      <c r="P164" s="34"/>
      <c r="Q164" s="35"/>
      <c r="R164" s="36" t="s">
        <v>15</v>
      </c>
      <c r="S164" s="37">
        <f t="shared" ref="S164:S245" si="3">IF(E164&lt;&gt;"",TODAY(),"")</f>
        <v>46039</v>
      </c>
      <c r="T164" s="38"/>
      <c r="U164" s="38"/>
      <c r="V164" s="38"/>
      <c r="W164" s="38"/>
      <c r="X164" s="38"/>
      <c r="Y164" s="38"/>
      <c r="Z164" s="38"/>
    </row>
    <row r="165" ht="22.5" customHeight="1">
      <c r="A165" s="39" t="str">
        <f t="shared" si="1"/>
        <v>LEA-0164</v>
      </c>
      <c r="B165" s="40">
        <v>46002.0</v>
      </c>
      <c r="C165" s="41" t="s">
        <v>39</v>
      </c>
      <c r="D165" s="41" t="s">
        <v>62</v>
      </c>
      <c r="E165" s="42" t="s">
        <v>369</v>
      </c>
      <c r="F165" s="42">
        <v>9.900303933E9</v>
      </c>
      <c r="G165" s="43"/>
      <c r="H165" s="43"/>
      <c r="I165" s="42" t="s">
        <v>370</v>
      </c>
      <c r="J165" s="42" t="s">
        <v>77</v>
      </c>
      <c r="K165" s="41" t="s">
        <v>77</v>
      </c>
      <c r="L165" s="44">
        <v>12.0</v>
      </c>
      <c r="M165" s="45" t="s">
        <v>16</v>
      </c>
      <c r="N165" s="46">
        <v>35.0</v>
      </c>
      <c r="O165" s="44">
        <v>7200.0</v>
      </c>
      <c r="P165" s="47"/>
      <c r="Q165" s="48"/>
      <c r="R165" s="49" t="s">
        <v>15</v>
      </c>
      <c r="S165" s="50">
        <f t="shared" si="3"/>
        <v>46039</v>
      </c>
      <c r="T165" s="38"/>
      <c r="U165" s="38"/>
      <c r="V165" s="38"/>
      <c r="W165" s="38"/>
      <c r="X165" s="38"/>
      <c r="Y165" s="38"/>
      <c r="Z165" s="38"/>
    </row>
    <row r="166" ht="22.5" customHeight="1">
      <c r="A166" s="26" t="str">
        <f t="shared" si="1"/>
        <v>LEA-0165</v>
      </c>
      <c r="B166" s="27">
        <v>46002.0</v>
      </c>
      <c r="C166" s="28" t="s">
        <v>39</v>
      </c>
      <c r="D166" s="28" t="s">
        <v>62</v>
      </c>
      <c r="E166" s="29" t="s">
        <v>179</v>
      </c>
      <c r="F166" s="29">
        <v>9.44860745E9</v>
      </c>
      <c r="G166" s="30"/>
      <c r="H166" s="30"/>
      <c r="I166" s="29" t="s">
        <v>368</v>
      </c>
      <c r="J166" s="29" t="s">
        <v>77</v>
      </c>
      <c r="K166" s="28" t="s">
        <v>77</v>
      </c>
      <c r="L166" s="51">
        <v>6.6</v>
      </c>
      <c r="M166" s="32" t="s">
        <v>16</v>
      </c>
      <c r="N166" s="52">
        <v>8.0</v>
      </c>
      <c r="O166" s="51">
        <v>4000.0</v>
      </c>
      <c r="P166" s="34"/>
      <c r="Q166" s="35"/>
      <c r="R166" s="36" t="s">
        <v>15</v>
      </c>
      <c r="S166" s="37">
        <f t="shared" si="3"/>
        <v>46039</v>
      </c>
      <c r="T166" s="38"/>
      <c r="U166" s="38"/>
      <c r="V166" s="38"/>
      <c r="W166" s="38"/>
      <c r="X166" s="38"/>
      <c r="Y166" s="38"/>
      <c r="Z166" s="38"/>
    </row>
    <row r="167" ht="22.5" customHeight="1">
      <c r="A167" s="39" t="str">
        <f t="shared" si="1"/>
        <v>LEA-0166</v>
      </c>
      <c r="B167" s="40">
        <v>46002.0</v>
      </c>
      <c r="C167" s="41" t="s">
        <v>39</v>
      </c>
      <c r="D167" s="41" t="s">
        <v>62</v>
      </c>
      <c r="E167" s="42" t="s">
        <v>371</v>
      </c>
      <c r="F167" s="42">
        <v>6.363157946E9</v>
      </c>
      <c r="G167" s="43"/>
      <c r="H167" s="43"/>
      <c r="I167" s="42" t="s">
        <v>368</v>
      </c>
      <c r="J167" s="42" t="s">
        <v>77</v>
      </c>
      <c r="K167" s="41" t="s">
        <v>77</v>
      </c>
      <c r="L167" s="53">
        <v>20.0</v>
      </c>
      <c r="M167" s="45" t="s">
        <v>16</v>
      </c>
      <c r="N167" s="54">
        <v>20.0</v>
      </c>
      <c r="O167" s="53">
        <v>12000.0</v>
      </c>
      <c r="P167" s="47"/>
      <c r="Q167" s="48"/>
      <c r="R167" s="49" t="s">
        <v>15</v>
      </c>
      <c r="S167" s="50">
        <f t="shared" si="3"/>
        <v>46039</v>
      </c>
      <c r="T167" s="38"/>
      <c r="U167" s="38"/>
      <c r="V167" s="38"/>
      <c r="W167" s="38"/>
      <c r="X167" s="38"/>
      <c r="Y167" s="38"/>
      <c r="Z167" s="38"/>
    </row>
    <row r="168" ht="22.5" customHeight="1">
      <c r="A168" s="26" t="str">
        <f t="shared" si="1"/>
        <v>LEA-0167</v>
      </c>
      <c r="B168" s="27">
        <v>46002.0</v>
      </c>
      <c r="C168" s="28" t="s">
        <v>39</v>
      </c>
      <c r="D168" s="28" t="s">
        <v>62</v>
      </c>
      <c r="E168" s="29" t="s">
        <v>372</v>
      </c>
      <c r="F168" s="29">
        <v>9.071901734E9</v>
      </c>
      <c r="G168" s="30"/>
      <c r="H168" s="30"/>
      <c r="I168" s="29" t="s">
        <v>373</v>
      </c>
      <c r="J168" s="29" t="s">
        <v>77</v>
      </c>
      <c r="K168" s="28" t="s">
        <v>77</v>
      </c>
      <c r="L168" s="51">
        <v>2.0</v>
      </c>
      <c r="M168" s="32" t="s">
        <v>16</v>
      </c>
      <c r="N168" s="52">
        <v>15.0</v>
      </c>
      <c r="O168" s="51">
        <v>1200.0</v>
      </c>
      <c r="P168" s="34"/>
      <c r="Q168" s="35"/>
      <c r="R168" s="36" t="s">
        <v>15</v>
      </c>
      <c r="S168" s="37">
        <f t="shared" si="3"/>
        <v>46039</v>
      </c>
      <c r="T168" s="38"/>
      <c r="U168" s="38"/>
      <c r="V168" s="38"/>
      <c r="W168" s="38"/>
      <c r="X168" s="38"/>
      <c r="Y168" s="38"/>
      <c r="Z168" s="38"/>
    </row>
    <row r="169" ht="22.5" customHeight="1">
      <c r="A169" s="39" t="str">
        <f t="shared" si="1"/>
        <v>LEA-0168</v>
      </c>
      <c r="B169" s="40">
        <v>46002.0</v>
      </c>
      <c r="C169" s="41" t="s">
        <v>39</v>
      </c>
      <c r="D169" s="41" t="s">
        <v>62</v>
      </c>
      <c r="E169" s="42" t="s">
        <v>374</v>
      </c>
      <c r="F169" s="42">
        <v>9.108813061E9</v>
      </c>
      <c r="G169" s="43"/>
      <c r="H169" s="43"/>
      <c r="I169" s="42" t="s">
        <v>370</v>
      </c>
      <c r="J169" s="42" t="s">
        <v>77</v>
      </c>
      <c r="K169" s="41" t="s">
        <v>77</v>
      </c>
      <c r="L169" s="53">
        <v>1.5</v>
      </c>
      <c r="M169" s="45" t="s">
        <v>16</v>
      </c>
      <c r="N169" s="54">
        <v>22.0</v>
      </c>
      <c r="O169" s="53">
        <v>900.0</v>
      </c>
      <c r="P169" s="47"/>
      <c r="Q169" s="48"/>
      <c r="R169" s="49" t="s">
        <v>15</v>
      </c>
      <c r="S169" s="50">
        <f t="shared" si="3"/>
        <v>46039</v>
      </c>
      <c r="T169" s="38"/>
      <c r="U169" s="38"/>
      <c r="V169" s="38"/>
      <c r="W169" s="38"/>
      <c r="X169" s="38"/>
      <c r="Y169" s="38"/>
      <c r="Z169" s="38"/>
    </row>
    <row r="170" ht="22.5" customHeight="1">
      <c r="A170" s="26" t="str">
        <f t="shared" si="1"/>
        <v>LEA-0169</v>
      </c>
      <c r="B170" s="27">
        <v>46002.0</v>
      </c>
      <c r="C170" s="28" t="s">
        <v>39</v>
      </c>
      <c r="D170" s="28" t="s">
        <v>62</v>
      </c>
      <c r="E170" s="29" t="s">
        <v>375</v>
      </c>
      <c r="F170" s="29">
        <v>9.886346231E9</v>
      </c>
      <c r="G170" s="30"/>
      <c r="H170" s="30"/>
      <c r="I170" s="29" t="s">
        <v>373</v>
      </c>
      <c r="J170" s="29" t="s">
        <v>77</v>
      </c>
      <c r="K170" s="28" t="s">
        <v>77</v>
      </c>
      <c r="L170" s="51">
        <v>1.6</v>
      </c>
      <c r="M170" s="32" t="s">
        <v>16</v>
      </c>
      <c r="N170" s="52">
        <v>7.0</v>
      </c>
      <c r="O170" s="51">
        <v>1000.0</v>
      </c>
      <c r="P170" s="34"/>
      <c r="Q170" s="35"/>
      <c r="R170" s="36" t="s">
        <v>15</v>
      </c>
      <c r="S170" s="37">
        <f t="shared" si="3"/>
        <v>46039</v>
      </c>
      <c r="T170" s="38"/>
      <c r="U170" s="38"/>
      <c r="V170" s="38"/>
      <c r="W170" s="38"/>
      <c r="X170" s="38"/>
      <c r="Y170" s="38"/>
      <c r="Z170" s="38"/>
    </row>
    <row r="171" ht="22.5" customHeight="1">
      <c r="A171" s="9" t="str">
        <f t="shared" si="1"/>
        <v>LEA-0170</v>
      </c>
      <c r="B171" s="20">
        <v>46003.0</v>
      </c>
      <c r="C171" s="28" t="s">
        <v>39</v>
      </c>
      <c r="D171" s="16" t="s">
        <v>62</v>
      </c>
      <c r="E171" s="17" t="s">
        <v>376</v>
      </c>
      <c r="F171" s="17">
        <v>9.945844354E9</v>
      </c>
      <c r="G171" s="17">
        <v>9.844126889E9</v>
      </c>
      <c r="H171" s="17"/>
      <c r="I171" s="17" t="s">
        <v>377</v>
      </c>
      <c r="J171" s="29" t="s">
        <v>77</v>
      </c>
      <c r="K171" s="28" t="s">
        <v>77</v>
      </c>
      <c r="L171" s="17">
        <v>4.0</v>
      </c>
      <c r="M171" s="32" t="s">
        <v>16</v>
      </c>
      <c r="N171" s="19">
        <v>35.0</v>
      </c>
      <c r="O171" s="17">
        <v>2400.0</v>
      </c>
      <c r="P171" s="16"/>
      <c r="Q171" s="18"/>
      <c r="R171" s="36" t="s">
        <v>15</v>
      </c>
      <c r="S171" s="14">
        <f t="shared" si="3"/>
        <v>46039</v>
      </c>
      <c r="T171" s="8"/>
      <c r="U171" s="8"/>
      <c r="V171" s="8"/>
      <c r="W171" s="8"/>
      <c r="X171" s="8"/>
      <c r="Y171" s="8"/>
      <c r="Z171" s="8"/>
    </row>
    <row r="172" ht="22.5" customHeight="1">
      <c r="A172" s="9" t="str">
        <f t="shared" si="1"/>
        <v>LEA-0171</v>
      </c>
      <c r="B172" s="20">
        <v>46003.0</v>
      </c>
      <c r="C172" s="28" t="s">
        <v>39</v>
      </c>
      <c r="D172" s="16" t="s">
        <v>62</v>
      </c>
      <c r="E172" s="17" t="s">
        <v>378</v>
      </c>
      <c r="F172" s="17">
        <v>9.900447911E9</v>
      </c>
      <c r="G172" s="17"/>
      <c r="H172" s="17"/>
      <c r="I172" s="17" t="s">
        <v>363</v>
      </c>
      <c r="J172" s="29" t="s">
        <v>77</v>
      </c>
      <c r="K172" s="28" t="s">
        <v>77</v>
      </c>
      <c r="L172" s="17">
        <v>5.0</v>
      </c>
      <c r="M172" s="32" t="s">
        <v>16</v>
      </c>
      <c r="N172" s="19">
        <v>30.0</v>
      </c>
      <c r="O172" s="17">
        <v>3000.0</v>
      </c>
      <c r="P172" s="16"/>
      <c r="Q172" s="18"/>
      <c r="R172" s="36" t="s">
        <v>15</v>
      </c>
      <c r="S172" s="14">
        <f t="shared" si="3"/>
        <v>46039</v>
      </c>
      <c r="T172" s="8"/>
      <c r="U172" s="8"/>
      <c r="V172" s="8"/>
      <c r="W172" s="8"/>
      <c r="X172" s="8"/>
      <c r="Y172" s="8"/>
      <c r="Z172" s="8"/>
    </row>
    <row r="173" ht="22.5" customHeight="1">
      <c r="A173" s="9" t="str">
        <f t="shared" si="1"/>
        <v>LEA-0172</v>
      </c>
      <c r="B173" s="20">
        <v>46003.0</v>
      </c>
      <c r="C173" s="28" t="s">
        <v>39</v>
      </c>
      <c r="D173" s="16" t="s">
        <v>62</v>
      </c>
      <c r="E173" s="17" t="s">
        <v>379</v>
      </c>
      <c r="F173" s="17">
        <v>9.008035168E9</v>
      </c>
      <c r="G173" s="17"/>
      <c r="H173" s="17"/>
      <c r="I173" s="17" t="s">
        <v>363</v>
      </c>
      <c r="J173" s="29" t="s">
        <v>77</v>
      </c>
      <c r="K173" s="28" t="s">
        <v>77</v>
      </c>
      <c r="L173" s="17">
        <v>3.5</v>
      </c>
      <c r="M173" s="32" t="s">
        <v>16</v>
      </c>
      <c r="N173" s="19">
        <v>16.0</v>
      </c>
      <c r="O173" s="17">
        <v>2100.0</v>
      </c>
      <c r="P173" s="16"/>
      <c r="Q173" s="18"/>
      <c r="R173" s="36" t="s">
        <v>15</v>
      </c>
      <c r="S173" s="14">
        <f t="shared" si="3"/>
        <v>46039</v>
      </c>
      <c r="T173" s="8"/>
      <c r="U173" s="8"/>
      <c r="V173" s="8"/>
      <c r="W173" s="8"/>
      <c r="X173" s="8"/>
      <c r="Y173" s="8"/>
      <c r="Z173" s="8"/>
    </row>
    <row r="174" ht="22.5" customHeight="1">
      <c r="A174" s="9" t="str">
        <f t="shared" si="1"/>
        <v>LEA-0173</v>
      </c>
      <c r="B174" s="20">
        <v>46003.0</v>
      </c>
      <c r="C174" s="28" t="s">
        <v>39</v>
      </c>
      <c r="D174" s="16" t="s">
        <v>62</v>
      </c>
      <c r="E174" s="17" t="s">
        <v>380</v>
      </c>
      <c r="F174" s="17">
        <v>9.945052669E9</v>
      </c>
      <c r="G174" s="17"/>
      <c r="H174" s="17"/>
      <c r="I174" s="17" t="s">
        <v>381</v>
      </c>
      <c r="J174" s="29" t="s">
        <v>77</v>
      </c>
      <c r="K174" s="28" t="s">
        <v>77</v>
      </c>
      <c r="L174" s="17">
        <v>2.1</v>
      </c>
      <c r="M174" s="32" t="s">
        <v>16</v>
      </c>
      <c r="N174" s="19">
        <v>15.0</v>
      </c>
      <c r="O174" s="17">
        <v>1300.0</v>
      </c>
      <c r="P174" s="16"/>
      <c r="Q174" s="18"/>
      <c r="R174" s="36" t="s">
        <v>15</v>
      </c>
      <c r="S174" s="14">
        <f t="shared" si="3"/>
        <v>46039</v>
      </c>
      <c r="T174" s="8"/>
      <c r="U174" s="8"/>
      <c r="V174" s="8"/>
      <c r="W174" s="8"/>
      <c r="X174" s="8"/>
      <c r="Y174" s="8"/>
      <c r="Z174" s="8"/>
    </row>
    <row r="175" ht="22.5" customHeight="1">
      <c r="A175" s="9" t="str">
        <f t="shared" si="1"/>
        <v>LEA-0174</v>
      </c>
      <c r="B175" s="20">
        <v>46003.0</v>
      </c>
      <c r="C175" s="28" t="s">
        <v>39</v>
      </c>
      <c r="D175" s="16" t="s">
        <v>62</v>
      </c>
      <c r="E175" s="17" t="s">
        <v>382</v>
      </c>
      <c r="F175" s="17">
        <v>9.10256642E8</v>
      </c>
      <c r="G175" s="17"/>
      <c r="H175" s="17"/>
      <c r="I175" s="17" t="s">
        <v>383</v>
      </c>
      <c r="J175" s="29" t="s">
        <v>77</v>
      </c>
      <c r="K175" s="28" t="s">
        <v>77</v>
      </c>
      <c r="L175" s="17">
        <v>15.0</v>
      </c>
      <c r="M175" s="32" t="s">
        <v>16</v>
      </c>
      <c r="N175" s="19">
        <v>30.0</v>
      </c>
      <c r="O175" s="17">
        <v>9000.0</v>
      </c>
      <c r="P175" s="16"/>
      <c r="Q175" s="18"/>
      <c r="R175" s="36" t="s">
        <v>15</v>
      </c>
      <c r="S175" s="14">
        <f t="shared" si="3"/>
        <v>46039</v>
      </c>
      <c r="T175" s="8"/>
      <c r="U175" s="8"/>
      <c r="V175" s="8"/>
      <c r="W175" s="8"/>
      <c r="X175" s="8"/>
      <c r="Y175" s="8"/>
      <c r="Z175" s="8"/>
    </row>
    <row r="176" ht="22.5" customHeight="1">
      <c r="A176" s="9" t="str">
        <f t="shared" si="1"/>
        <v>LEA-0175</v>
      </c>
      <c r="B176" s="20">
        <v>46003.0</v>
      </c>
      <c r="C176" s="16" t="s">
        <v>70</v>
      </c>
      <c r="D176" s="16" t="s">
        <v>62</v>
      </c>
      <c r="E176" s="17" t="s">
        <v>303</v>
      </c>
      <c r="F176" s="17">
        <v>8.277076219E9</v>
      </c>
      <c r="G176" s="17"/>
      <c r="H176" s="17"/>
      <c r="I176" s="17" t="s">
        <v>302</v>
      </c>
      <c r="J176" s="17" t="s">
        <v>155</v>
      </c>
      <c r="K176" s="16" t="s">
        <v>79</v>
      </c>
      <c r="L176" s="17">
        <v>4.1</v>
      </c>
      <c r="M176" s="32" t="s">
        <v>16</v>
      </c>
      <c r="N176" s="19">
        <v>15.0</v>
      </c>
      <c r="O176" s="17">
        <v>2500.0</v>
      </c>
      <c r="P176" s="16"/>
      <c r="Q176" s="18"/>
      <c r="R176" s="36" t="s">
        <v>15</v>
      </c>
      <c r="S176" s="14">
        <f t="shared" si="3"/>
        <v>46039</v>
      </c>
      <c r="T176" s="8"/>
      <c r="U176" s="8"/>
      <c r="V176" s="8"/>
      <c r="W176" s="8"/>
      <c r="X176" s="8"/>
      <c r="Y176" s="8"/>
      <c r="Z176" s="8"/>
    </row>
    <row r="177" ht="22.5" customHeight="1">
      <c r="A177" s="9" t="str">
        <f t="shared" si="1"/>
        <v>LEA-0176</v>
      </c>
      <c r="B177" s="20">
        <v>46003.0</v>
      </c>
      <c r="C177" s="16" t="s">
        <v>70</v>
      </c>
      <c r="D177" s="16" t="s">
        <v>62</v>
      </c>
      <c r="E177" s="17" t="s">
        <v>193</v>
      </c>
      <c r="F177" s="17">
        <v>9.480196651E9</v>
      </c>
      <c r="G177" s="17"/>
      <c r="H177" s="17"/>
      <c r="I177" s="17" t="s">
        <v>302</v>
      </c>
      <c r="J177" s="17" t="s">
        <v>155</v>
      </c>
      <c r="K177" s="16" t="s">
        <v>79</v>
      </c>
      <c r="L177" s="17">
        <v>5.0</v>
      </c>
      <c r="M177" s="32" t="s">
        <v>16</v>
      </c>
      <c r="N177" s="19">
        <v>20.0</v>
      </c>
      <c r="O177" s="17">
        <v>3000.0</v>
      </c>
      <c r="P177" s="16"/>
      <c r="Q177" s="18"/>
      <c r="R177" s="36" t="s">
        <v>15</v>
      </c>
      <c r="S177" s="14">
        <f t="shared" si="3"/>
        <v>46039</v>
      </c>
      <c r="T177" s="8"/>
      <c r="U177" s="8"/>
      <c r="V177" s="8"/>
      <c r="W177" s="8"/>
      <c r="X177" s="8"/>
      <c r="Y177" s="8"/>
      <c r="Z177" s="8"/>
    </row>
    <row r="178" ht="22.5" customHeight="1">
      <c r="A178" s="9" t="str">
        <f t="shared" si="1"/>
        <v>LEA-0177</v>
      </c>
      <c r="B178" s="20">
        <v>46003.0</v>
      </c>
      <c r="C178" s="16" t="s">
        <v>70</v>
      </c>
      <c r="D178" s="16" t="s">
        <v>62</v>
      </c>
      <c r="E178" s="17" t="s">
        <v>384</v>
      </c>
      <c r="F178" s="17">
        <v>9.686450631E9</v>
      </c>
      <c r="G178" s="17"/>
      <c r="H178" s="17"/>
      <c r="I178" s="17" t="s">
        <v>302</v>
      </c>
      <c r="J178" s="17" t="s">
        <v>155</v>
      </c>
      <c r="K178" s="16" t="s">
        <v>79</v>
      </c>
      <c r="L178" s="17">
        <v>1.6</v>
      </c>
      <c r="M178" s="32" t="s">
        <v>16</v>
      </c>
      <c r="N178" s="19">
        <v>5.0</v>
      </c>
      <c r="O178" s="17">
        <v>1000.0</v>
      </c>
      <c r="P178" s="16"/>
      <c r="Q178" s="18"/>
      <c r="R178" s="36" t="s">
        <v>15</v>
      </c>
      <c r="S178" s="14">
        <f t="shared" si="3"/>
        <v>46039</v>
      </c>
      <c r="T178" s="8"/>
      <c r="U178" s="8"/>
      <c r="V178" s="8"/>
      <c r="W178" s="8"/>
      <c r="X178" s="8"/>
      <c r="Y178" s="8"/>
      <c r="Z178" s="8"/>
    </row>
    <row r="179" ht="22.5" customHeight="1">
      <c r="A179" s="9" t="str">
        <f t="shared" si="1"/>
        <v>LEA-0178</v>
      </c>
      <c r="B179" s="20">
        <v>46004.0</v>
      </c>
      <c r="C179" s="16" t="s">
        <v>39</v>
      </c>
      <c r="D179" s="16" t="s">
        <v>62</v>
      </c>
      <c r="E179" s="17" t="s">
        <v>385</v>
      </c>
      <c r="F179" s="17">
        <v>9.448944098E9</v>
      </c>
      <c r="G179" s="17">
        <v>9.241391101E9</v>
      </c>
      <c r="H179" s="17"/>
      <c r="I179" s="17" t="s">
        <v>250</v>
      </c>
      <c r="J179" s="17" t="s">
        <v>283</v>
      </c>
      <c r="K179" s="16" t="s">
        <v>77</v>
      </c>
      <c r="L179" s="17">
        <v>5.0</v>
      </c>
      <c r="M179" s="32" t="s">
        <v>16</v>
      </c>
      <c r="N179" s="19">
        <v>8.0</v>
      </c>
      <c r="O179" s="17">
        <v>3000.0</v>
      </c>
      <c r="P179" s="16"/>
      <c r="Q179" s="18"/>
      <c r="R179" s="36" t="s">
        <v>15</v>
      </c>
      <c r="S179" s="14">
        <f t="shared" si="3"/>
        <v>46039</v>
      </c>
      <c r="T179" s="8"/>
      <c r="U179" s="8"/>
      <c r="V179" s="8"/>
      <c r="W179" s="8"/>
      <c r="X179" s="8"/>
      <c r="Y179" s="8"/>
      <c r="Z179" s="8"/>
    </row>
    <row r="180" ht="22.5" customHeight="1">
      <c r="A180" s="9" t="str">
        <f t="shared" si="1"/>
        <v>LEA-0179</v>
      </c>
      <c r="B180" s="20">
        <v>46004.0</v>
      </c>
      <c r="C180" s="16" t="s">
        <v>39</v>
      </c>
      <c r="D180" s="16" t="s">
        <v>62</v>
      </c>
      <c r="E180" s="17" t="s">
        <v>220</v>
      </c>
      <c r="F180" s="17">
        <v>9.902165877E9</v>
      </c>
      <c r="G180" s="17"/>
      <c r="H180" s="17"/>
      <c r="I180" s="17" t="s">
        <v>171</v>
      </c>
      <c r="J180" s="17" t="s">
        <v>283</v>
      </c>
      <c r="K180" s="16" t="s">
        <v>77</v>
      </c>
      <c r="L180" s="17">
        <v>3.0</v>
      </c>
      <c r="M180" s="32" t="s">
        <v>16</v>
      </c>
      <c r="N180" s="19">
        <v>30.0</v>
      </c>
      <c r="O180" s="17">
        <v>1800.0</v>
      </c>
      <c r="P180" s="16"/>
      <c r="Q180" s="18"/>
      <c r="R180" s="36" t="s">
        <v>15</v>
      </c>
      <c r="S180" s="14">
        <f t="shared" si="3"/>
        <v>46039</v>
      </c>
      <c r="T180" s="8"/>
      <c r="U180" s="8"/>
      <c r="V180" s="8"/>
      <c r="W180" s="8"/>
      <c r="X180" s="8"/>
      <c r="Y180" s="8"/>
      <c r="Z180" s="8"/>
    </row>
    <row r="181" ht="22.5" customHeight="1">
      <c r="A181" s="9" t="str">
        <f t="shared" si="1"/>
        <v>LEA-0180</v>
      </c>
      <c r="B181" s="20">
        <v>46004.0</v>
      </c>
      <c r="C181" s="16" t="s">
        <v>39</v>
      </c>
      <c r="D181" s="16" t="s">
        <v>62</v>
      </c>
      <c r="E181" s="17" t="s">
        <v>332</v>
      </c>
      <c r="F181" s="17">
        <v>9.945262134E9</v>
      </c>
      <c r="G181" s="17"/>
      <c r="H181" s="17"/>
      <c r="I181" s="17" t="s">
        <v>250</v>
      </c>
      <c r="J181" s="17" t="s">
        <v>283</v>
      </c>
      <c r="K181" s="16" t="s">
        <v>77</v>
      </c>
      <c r="L181" s="17">
        <v>10.0</v>
      </c>
      <c r="M181" s="32" t="s">
        <v>16</v>
      </c>
      <c r="N181" s="19">
        <v>20.0</v>
      </c>
      <c r="O181" s="17">
        <v>6000.0</v>
      </c>
      <c r="P181" s="16"/>
      <c r="Q181" s="18"/>
      <c r="R181" s="36" t="s">
        <v>15</v>
      </c>
      <c r="S181" s="14">
        <f t="shared" si="3"/>
        <v>46039</v>
      </c>
      <c r="T181" s="8"/>
      <c r="U181" s="8"/>
      <c r="V181" s="8"/>
      <c r="W181" s="8"/>
      <c r="X181" s="8"/>
      <c r="Y181" s="8"/>
      <c r="Z181" s="8"/>
    </row>
    <row r="182" ht="22.5" customHeight="1">
      <c r="A182" s="9" t="str">
        <f t="shared" si="1"/>
        <v>LEA-0181</v>
      </c>
      <c r="B182" s="20">
        <v>46004.0</v>
      </c>
      <c r="C182" s="16" t="s">
        <v>39</v>
      </c>
      <c r="D182" s="16" t="s">
        <v>62</v>
      </c>
      <c r="E182" s="17" t="s">
        <v>181</v>
      </c>
      <c r="F182" s="17">
        <v>9.90126798E9</v>
      </c>
      <c r="G182" s="17"/>
      <c r="H182" s="17"/>
      <c r="I182" s="17" t="s">
        <v>171</v>
      </c>
      <c r="J182" s="17" t="s">
        <v>283</v>
      </c>
      <c r="K182" s="16" t="s">
        <v>77</v>
      </c>
      <c r="L182" s="17">
        <v>2.0</v>
      </c>
      <c r="M182" s="32" t="s">
        <v>16</v>
      </c>
      <c r="N182" s="19">
        <v>6.0</v>
      </c>
      <c r="O182" s="17">
        <v>1200.0</v>
      </c>
      <c r="P182" s="16"/>
      <c r="Q182" s="18"/>
      <c r="R182" s="36" t="s">
        <v>15</v>
      </c>
      <c r="S182" s="14">
        <f t="shared" si="3"/>
        <v>46039</v>
      </c>
      <c r="T182" s="8"/>
      <c r="U182" s="8"/>
      <c r="V182" s="8"/>
      <c r="W182" s="8"/>
      <c r="X182" s="8"/>
      <c r="Y182" s="8"/>
      <c r="Z182" s="8"/>
    </row>
    <row r="183" ht="22.5" customHeight="1">
      <c r="A183" s="9" t="str">
        <f t="shared" si="1"/>
        <v>LEA-0182</v>
      </c>
      <c r="B183" s="20">
        <v>46004.0</v>
      </c>
      <c r="C183" s="16" t="s">
        <v>39</v>
      </c>
      <c r="D183" s="16" t="s">
        <v>62</v>
      </c>
      <c r="E183" s="17" t="s">
        <v>386</v>
      </c>
      <c r="F183" s="17">
        <v>6.360631055E9</v>
      </c>
      <c r="G183" s="17"/>
      <c r="H183" s="17"/>
      <c r="I183" s="17" t="s">
        <v>250</v>
      </c>
      <c r="J183" s="17" t="s">
        <v>283</v>
      </c>
      <c r="K183" s="16" t="s">
        <v>77</v>
      </c>
      <c r="L183" s="17">
        <v>4.5</v>
      </c>
      <c r="M183" s="32" t="s">
        <v>16</v>
      </c>
      <c r="N183" s="19">
        <v>15.0</v>
      </c>
      <c r="O183" s="17">
        <v>2700.0</v>
      </c>
      <c r="P183" s="16"/>
      <c r="Q183" s="18"/>
      <c r="R183" s="36" t="s">
        <v>15</v>
      </c>
      <c r="S183" s="14">
        <f t="shared" si="3"/>
        <v>46039</v>
      </c>
      <c r="T183" s="8"/>
      <c r="U183" s="8"/>
      <c r="V183" s="8"/>
      <c r="W183" s="8"/>
      <c r="X183" s="8"/>
      <c r="Y183" s="8"/>
      <c r="Z183" s="8"/>
    </row>
    <row r="184" ht="22.5" customHeight="1">
      <c r="A184" s="9" t="str">
        <f t="shared" si="1"/>
        <v>LEA-0183</v>
      </c>
      <c r="B184" s="20">
        <v>46004.0</v>
      </c>
      <c r="C184" s="16" t="s">
        <v>39</v>
      </c>
      <c r="D184" s="16" t="s">
        <v>62</v>
      </c>
      <c r="E184" s="17" t="s">
        <v>354</v>
      </c>
      <c r="F184" s="17">
        <v>9.901670484E9</v>
      </c>
      <c r="G184" s="17"/>
      <c r="H184" s="17"/>
      <c r="I184" s="17" t="s">
        <v>250</v>
      </c>
      <c r="J184" s="17" t="s">
        <v>283</v>
      </c>
      <c r="K184" s="16" t="s">
        <v>77</v>
      </c>
      <c r="L184" s="17">
        <v>6.0</v>
      </c>
      <c r="M184" s="32" t="s">
        <v>16</v>
      </c>
      <c r="N184" s="19">
        <v>15.0</v>
      </c>
      <c r="O184" s="17">
        <v>3600.0</v>
      </c>
      <c r="P184" s="16"/>
      <c r="Q184" s="18"/>
      <c r="R184" s="36" t="s">
        <v>15</v>
      </c>
      <c r="S184" s="14">
        <f t="shared" si="3"/>
        <v>46039</v>
      </c>
      <c r="T184" s="8"/>
      <c r="U184" s="8"/>
      <c r="V184" s="8"/>
      <c r="W184" s="8"/>
      <c r="X184" s="8"/>
      <c r="Y184" s="8"/>
      <c r="Z184" s="8"/>
    </row>
    <row r="185" ht="22.5" customHeight="1">
      <c r="A185" s="9" t="str">
        <f t="shared" si="1"/>
        <v>LEA-0184</v>
      </c>
      <c r="B185" s="20">
        <v>46004.0</v>
      </c>
      <c r="C185" s="16" t="s">
        <v>39</v>
      </c>
      <c r="D185" s="16" t="s">
        <v>62</v>
      </c>
      <c r="E185" s="17" t="s">
        <v>387</v>
      </c>
      <c r="F185" s="17">
        <v>9.945254655E9</v>
      </c>
      <c r="G185" s="17"/>
      <c r="H185" s="17"/>
      <c r="I185" s="17" t="s">
        <v>250</v>
      </c>
      <c r="J185" s="17" t="s">
        <v>283</v>
      </c>
      <c r="K185" s="16" t="s">
        <v>77</v>
      </c>
      <c r="L185" s="17">
        <v>3.5</v>
      </c>
      <c r="M185" s="32" t="s">
        <v>16</v>
      </c>
      <c r="N185" s="19">
        <v>13.0</v>
      </c>
      <c r="O185" s="17">
        <v>2100.0</v>
      </c>
      <c r="P185" s="16"/>
      <c r="Q185" s="18"/>
      <c r="R185" s="36" t="s">
        <v>15</v>
      </c>
      <c r="S185" s="14">
        <f t="shared" si="3"/>
        <v>46039</v>
      </c>
      <c r="T185" s="8"/>
      <c r="U185" s="8"/>
      <c r="V185" s="8"/>
      <c r="W185" s="8"/>
      <c r="X185" s="8"/>
      <c r="Y185" s="8"/>
      <c r="Z185" s="8"/>
    </row>
    <row r="186" ht="22.5" customHeight="1">
      <c r="A186" s="9" t="str">
        <f t="shared" si="1"/>
        <v>LEA-0185</v>
      </c>
      <c r="B186" s="20">
        <v>46004.0</v>
      </c>
      <c r="C186" s="16" t="s">
        <v>39</v>
      </c>
      <c r="D186" s="16" t="s">
        <v>62</v>
      </c>
      <c r="E186" s="17" t="s">
        <v>160</v>
      </c>
      <c r="F186" s="17">
        <v>9.964784779E9</v>
      </c>
      <c r="G186" s="17"/>
      <c r="H186" s="17"/>
      <c r="I186" s="17" t="s">
        <v>250</v>
      </c>
      <c r="J186" s="17" t="s">
        <v>283</v>
      </c>
      <c r="K186" s="16" t="s">
        <v>77</v>
      </c>
      <c r="L186" s="17">
        <v>5.0</v>
      </c>
      <c r="M186" s="32" t="s">
        <v>16</v>
      </c>
      <c r="N186" s="19">
        <v>10.0</v>
      </c>
      <c r="O186" s="17">
        <v>3000.0</v>
      </c>
      <c r="P186" s="16"/>
      <c r="Q186" s="18"/>
      <c r="R186" s="36" t="s">
        <v>15</v>
      </c>
      <c r="S186" s="14">
        <f t="shared" si="3"/>
        <v>46039</v>
      </c>
      <c r="T186" s="8"/>
      <c r="U186" s="8"/>
      <c r="V186" s="8"/>
      <c r="W186" s="8"/>
      <c r="X186" s="8"/>
      <c r="Y186" s="8"/>
      <c r="Z186" s="8"/>
    </row>
    <row r="187" ht="22.5" customHeight="1">
      <c r="A187" s="9" t="str">
        <f t="shared" si="1"/>
        <v>LEA-0186</v>
      </c>
      <c r="B187" s="20">
        <v>46004.0</v>
      </c>
      <c r="C187" s="16" t="s">
        <v>39</v>
      </c>
      <c r="D187" s="16" t="s">
        <v>62</v>
      </c>
      <c r="E187" s="17" t="s">
        <v>388</v>
      </c>
      <c r="F187" s="17">
        <v>9.591867635E9</v>
      </c>
      <c r="G187" s="17"/>
      <c r="H187" s="17"/>
      <c r="I187" s="17" t="s">
        <v>389</v>
      </c>
      <c r="J187" s="17" t="s">
        <v>77</v>
      </c>
      <c r="K187" s="16" t="s">
        <v>77</v>
      </c>
      <c r="L187" s="17">
        <v>3.0</v>
      </c>
      <c r="M187" s="32" t="s">
        <v>16</v>
      </c>
      <c r="N187" s="19">
        <v>30.0</v>
      </c>
      <c r="O187" s="17">
        <v>1800.0</v>
      </c>
      <c r="P187" s="16"/>
      <c r="Q187" s="18"/>
      <c r="R187" s="36" t="s">
        <v>15</v>
      </c>
      <c r="S187" s="14">
        <f t="shared" si="3"/>
        <v>46039</v>
      </c>
      <c r="T187" s="8"/>
      <c r="U187" s="8"/>
      <c r="V187" s="8"/>
      <c r="W187" s="8"/>
      <c r="X187" s="8"/>
      <c r="Y187" s="8"/>
      <c r="Z187" s="8"/>
    </row>
    <row r="188" ht="22.5" customHeight="1">
      <c r="A188" s="9" t="str">
        <f t="shared" si="1"/>
        <v>LEA-0187</v>
      </c>
      <c r="B188" s="20">
        <v>46004.0</v>
      </c>
      <c r="C188" s="16" t="s">
        <v>39</v>
      </c>
      <c r="D188" s="16" t="s">
        <v>62</v>
      </c>
      <c r="E188" s="17" t="s">
        <v>390</v>
      </c>
      <c r="F188" s="17">
        <v>9.986880506E9</v>
      </c>
      <c r="G188" s="17"/>
      <c r="H188" s="17"/>
      <c r="I188" s="17" t="s">
        <v>389</v>
      </c>
      <c r="J188" s="17" t="s">
        <v>77</v>
      </c>
      <c r="K188" s="16" t="s">
        <v>77</v>
      </c>
      <c r="L188" s="17">
        <v>4.0</v>
      </c>
      <c r="M188" s="32" t="s">
        <v>16</v>
      </c>
      <c r="N188" s="19">
        <v>20.0</v>
      </c>
      <c r="O188" s="17">
        <v>2400.0</v>
      </c>
      <c r="P188" s="16"/>
      <c r="Q188" s="18"/>
      <c r="R188" s="36" t="s">
        <v>15</v>
      </c>
      <c r="S188" s="14">
        <f t="shared" si="3"/>
        <v>46039</v>
      </c>
      <c r="T188" s="8"/>
      <c r="U188" s="8"/>
      <c r="V188" s="8"/>
      <c r="W188" s="8"/>
      <c r="X188" s="8"/>
      <c r="Y188" s="8"/>
      <c r="Z188" s="8"/>
    </row>
    <row r="189" ht="22.5" customHeight="1">
      <c r="A189" s="9" t="str">
        <f t="shared" si="1"/>
        <v>LEA-0188</v>
      </c>
      <c r="B189" s="20">
        <v>46006.0</v>
      </c>
      <c r="C189" s="16" t="s">
        <v>39</v>
      </c>
      <c r="D189" s="16" t="s">
        <v>62</v>
      </c>
      <c r="E189" s="17" t="s">
        <v>391</v>
      </c>
      <c r="F189" s="17">
        <v>9.448833197E9</v>
      </c>
      <c r="G189" s="17"/>
      <c r="H189" s="17"/>
      <c r="I189" s="17" t="s">
        <v>392</v>
      </c>
      <c r="J189" s="17" t="s">
        <v>393</v>
      </c>
      <c r="K189" s="16" t="s">
        <v>77</v>
      </c>
      <c r="L189" s="17">
        <v>1.5</v>
      </c>
      <c r="M189" s="32" t="s">
        <v>16</v>
      </c>
      <c r="N189" s="19">
        <v>35.0</v>
      </c>
      <c r="O189" s="17">
        <v>900.0</v>
      </c>
      <c r="P189" s="16"/>
      <c r="Q189" s="18"/>
      <c r="R189" s="36" t="s">
        <v>15</v>
      </c>
      <c r="S189" s="14">
        <f t="shared" si="3"/>
        <v>46039</v>
      </c>
      <c r="T189" s="8"/>
      <c r="U189" s="8"/>
      <c r="V189" s="8"/>
      <c r="W189" s="8"/>
      <c r="X189" s="8"/>
      <c r="Y189" s="8"/>
      <c r="Z189" s="8"/>
    </row>
    <row r="190" ht="22.5" customHeight="1">
      <c r="A190" s="9" t="str">
        <f t="shared" si="1"/>
        <v>LEA-0189</v>
      </c>
      <c r="B190" s="20">
        <v>46006.0</v>
      </c>
      <c r="C190" s="16" t="s">
        <v>39</v>
      </c>
      <c r="D190" s="16" t="s">
        <v>62</v>
      </c>
      <c r="E190" s="17" t="s">
        <v>394</v>
      </c>
      <c r="F190" s="17">
        <v>7.760875176E9</v>
      </c>
      <c r="G190" s="17"/>
      <c r="H190" s="17"/>
      <c r="I190" s="17" t="s">
        <v>395</v>
      </c>
      <c r="J190" s="17" t="s">
        <v>393</v>
      </c>
      <c r="K190" s="16" t="s">
        <v>77</v>
      </c>
      <c r="L190" s="17">
        <v>5.0</v>
      </c>
      <c r="M190" s="32" t="s">
        <v>16</v>
      </c>
      <c r="N190" s="19">
        <v>18.0</v>
      </c>
      <c r="O190" s="17">
        <v>3000.0</v>
      </c>
      <c r="P190" s="16"/>
      <c r="Q190" s="18"/>
      <c r="R190" s="36" t="s">
        <v>15</v>
      </c>
      <c r="S190" s="14">
        <f t="shared" si="3"/>
        <v>46039</v>
      </c>
      <c r="T190" s="8"/>
      <c r="U190" s="8"/>
      <c r="V190" s="8"/>
      <c r="W190" s="8"/>
      <c r="X190" s="8"/>
      <c r="Y190" s="8"/>
      <c r="Z190" s="8"/>
    </row>
    <row r="191" ht="22.5" customHeight="1">
      <c r="A191" s="9" t="str">
        <f t="shared" si="1"/>
        <v>LEA-0190</v>
      </c>
      <c r="B191" s="20">
        <v>46006.0</v>
      </c>
      <c r="C191" s="16" t="s">
        <v>39</v>
      </c>
      <c r="D191" s="16" t="s">
        <v>62</v>
      </c>
      <c r="E191" s="17" t="s">
        <v>396</v>
      </c>
      <c r="F191" s="17">
        <v>9.164732969E9</v>
      </c>
      <c r="G191" s="17"/>
      <c r="H191" s="17"/>
      <c r="I191" s="17" t="s">
        <v>397</v>
      </c>
      <c r="J191" s="17" t="s">
        <v>77</v>
      </c>
      <c r="K191" s="16" t="s">
        <v>77</v>
      </c>
      <c r="L191" s="17">
        <v>2.0</v>
      </c>
      <c r="M191" s="32" t="s">
        <v>16</v>
      </c>
      <c r="N191" s="19">
        <v>7.0</v>
      </c>
      <c r="O191" s="17">
        <v>1200.0</v>
      </c>
      <c r="P191" s="16"/>
      <c r="Q191" s="18"/>
      <c r="R191" s="36" t="s">
        <v>15</v>
      </c>
      <c r="S191" s="14">
        <f t="shared" si="3"/>
        <v>46039</v>
      </c>
      <c r="T191" s="8"/>
      <c r="U191" s="8"/>
      <c r="V191" s="8"/>
      <c r="W191" s="8"/>
      <c r="X191" s="8"/>
      <c r="Y191" s="8"/>
      <c r="Z191" s="8"/>
    </row>
    <row r="192" ht="22.5" customHeight="1">
      <c r="A192" s="9" t="str">
        <f t="shared" si="1"/>
        <v>LEA-0191</v>
      </c>
      <c r="B192" s="20">
        <v>46006.0</v>
      </c>
      <c r="C192" s="16" t="s">
        <v>39</v>
      </c>
      <c r="D192" s="16" t="s">
        <v>62</v>
      </c>
      <c r="E192" s="17" t="s">
        <v>398</v>
      </c>
      <c r="F192" s="17">
        <v>9.380970815E9</v>
      </c>
      <c r="G192" s="17"/>
      <c r="H192" s="17"/>
      <c r="I192" s="17" t="s">
        <v>397</v>
      </c>
      <c r="J192" s="17" t="s">
        <v>77</v>
      </c>
      <c r="K192" s="16" t="s">
        <v>77</v>
      </c>
      <c r="L192" s="17">
        <v>5.0</v>
      </c>
      <c r="M192" s="32" t="s">
        <v>16</v>
      </c>
      <c r="N192" s="19">
        <v>9.0</v>
      </c>
      <c r="O192" s="17">
        <v>3000.0</v>
      </c>
      <c r="P192" s="16"/>
      <c r="Q192" s="18"/>
      <c r="R192" s="36" t="s">
        <v>15</v>
      </c>
      <c r="S192" s="14">
        <f t="shared" si="3"/>
        <v>46039</v>
      </c>
      <c r="T192" s="8"/>
      <c r="U192" s="8"/>
      <c r="V192" s="8"/>
      <c r="W192" s="8"/>
      <c r="X192" s="8"/>
      <c r="Y192" s="8"/>
      <c r="Z192" s="8"/>
    </row>
    <row r="193" ht="22.5" customHeight="1">
      <c r="A193" s="9" t="str">
        <f t="shared" si="1"/>
        <v>LEA-0192</v>
      </c>
      <c r="B193" s="20">
        <v>46006.0</v>
      </c>
      <c r="C193" s="16" t="s">
        <v>39</v>
      </c>
      <c r="D193" s="16" t="s">
        <v>62</v>
      </c>
      <c r="E193" s="17" t="s">
        <v>228</v>
      </c>
      <c r="F193" s="17">
        <v>7.892065851E9</v>
      </c>
      <c r="G193" s="17"/>
      <c r="H193" s="17"/>
      <c r="I193" s="17" t="s">
        <v>399</v>
      </c>
      <c r="J193" s="17" t="s">
        <v>397</v>
      </c>
      <c r="K193" s="16" t="s">
        <v>77</v>
      </c>
      <c r="L193" s="17">
        <v>4.0</v>
      </c>
      <c r="M193" s="32" t="s">
        <v>16</v>
      </c>
      <c r="N193" s="19">
        <v>8.0</v>
      </c>
      <c r="O193" s="17">
        <v>2400.0</v>
      </c>
      <c r="P193" s="16"/>
      <c r="Q193" s="18"/>
      <c r="R193" s="36" t="s">
        <v>15</v>
      </c>
      <c r="S193" s="14">
        <f t="shared" si="3"/>
        <v>46039</v>
      </c>
      <c r="T193" s="8"/>
      <c r="U193" s="8"/>
      <c r="V193" s="8"/>
      <c r="W193" s="8"/>
      <c r="X193" s="8"/>
      <c r="Y193" s="8"/>
      <c r="Z193" s="8"/>
    </row>
    <row r="194" ht="22.5" customHeight="1">
      <c r="A194" s="9" t="str">
        <f t="shared" si="1"/>
        <v>LEA-0193</v>
      </c>
      <c r="B194" s="20">
        <v>46006.0</v>
      </c>
      <c r="C194" s="16" t="s">
        <v>39</v>
      </c>
      <c r="D194" s="16" t="s">
        <v>62</v>
      </c>
      <c r="E194" s="17" t="s">
        <v>400</v>
      </c>
      <c r="F194" s="17">
        <v>9.53530963E9</v>
      </c>
      <c r="G194" s="17"/>
      <c r="H194" s="17"/>
      <c r="I194" s="17" t="s">
        <v>397</v>
      </c>
      <c r="J194" s="17" t="s">
        <v>77</v>
      </c>
      <c r="K194" s="16" t="s">
        <v>77</v>
      </c>
      <c r="L194" s="17">
        <v>3.0</v>
      </c>
      <c r="M194" s="32" t="s">
        <v>16</v>
      </c>
      <c r="N194" s="19">
        <v>9.0</v>
      </c>
      <c r="O194" s="17">
        <v>1800.0</v>
      </c>
      <c r="P194" s="16"/>
      <c r="Q194" s="18"/>
      <c r="R194" s="36" t="s">
        <v>15</v>
      </c>
      <c r="S194" s="14">
        <f t="shared" si="3"/>
        <v>46039</v>
      </c>
      <c r="T194" s="8"/>
      <c r="U194" s="8"/>
      <c r="V194" s="8"/>
      <c r="W194" s="8"/>
      <c r="X194" s="8"/>
      <c r="Y194" s="8"/>
      <c r="Z194" s="8"/>
    </row>
    <row r="195" ht="22.5" customHeight="1">
      <c r="A195" s="9" t="str">
        <f t="shared" si="1"/>
        <v>LEA-0194</v>
      </c>
      <c r="B195" s="20">
        <v>46006.0</v>
      </c>
      <c r="C195" s="16" t="s">
        <v>39</v>
      </c>
      <c r="D195" s="16" t="s">
        <v>62</v>
      </c>
      <c r="E195" s="17" t="s">
        <v>401</v>
      </c>
      <c r="F195" s="17">
        <v>9.73154879E9</v>
      </c>
      <c r="G195" s="17"/>
      <c r="H195" s="17"/>
      <c r="I195" s="17" t="s">
        <v>397</v>
      </c>
      <c r="J195" s="17" t="s">
        <v>77</v>
      </c>
      <c r="K195" s="16" t="s">
        <v>77</v>
      </c>
      <c r="L195" s="17">
        <v>2.0</v>
      </c>
      <c r="M195" s="32" t="s">
        <v>16</v>
      </c>
      <c r="N195" s="19">
        <v>15.0</v>
      </c>
      <c r="O195" s="17">
        <v>1200.0</v>
      </c>
      <c r="P195" s="16"/>
      <c r="Q195" s="18"/>
      <c r="R195" s="36" t="s">
        <v>15</v>
      </c>
      <c r="S195" s="14">
        <f t="shared" si="3"/>
        <v>46039</v>
      </c>
      <c r="T195" s="8"/>
      <c r="U195" s="8"/>
      <c r="V195" s="8"/>
      <c r="W195" s="8"/>
      <c r="X195" s="8"/>
      <c r="Y195" s="8"/>
      <c r="Z195" s="8"/>
    </row>
    <row r="196" ht="22.5" customHeight="1">
      <c r="A196" s="9" t="str">
        <f t="shared" si="1"/>
        <v>LEA-0195</v>
      </c>
      <c r="B196" s="20">
        <v>46006.0</v>
      </c>
      <c r="C196" s="16" t="s">
        <v>39</v>
      </c>
      <c r="D196" s="16" t="s">
        <v>62</v>
      </c>
      <c r="E196" s="17" t="s">
        <v>402</v>
      </c>
      <c r="F196" s="17">
        <v>8.971893832E9</v>
      </c>
      <c r="G196" s="17"/>
      <c r="H196" s="17"/>
      <c r="I196" s="17" t="s">
        <v>392</v>
      </c>
      <c r="J196" s="17" t="s">
        <v>393</v>
      </c>
      <c r="K196" s="16" t="s">
        <v>77</v>
      </c>
      <c r="L196" s="17">
        <v>2.0</v>
      </c>
      <c r="M196" s="32" t="s">
        <v>16</v>
      </c>
      <c r="N196" s="19">
        <v>3.0</v>
      </c>
      <c r="O196" s="17">
        <v>1200.0</v>
      </c>
      <c r="P196" s="16"/>
      <c r="Q196" s="18"/>
      <c r="R196" s="36" t="s">
        <v>15</v>
      </c>
      <c r="S196" s="14">
        <f t="shared" si="3"/>
        <v>46039</v>
      </c>
      <c r="T196" s="8"/>
      <c r="U196" s="8"/>
      <c r="V196" s="8"/>
      <c r="W196" s="8"/>
      <c r="X196" s="8"/>
      <c r="Y196" s="8"/>
      <c r="Z196" s="8"/>
    </row>
    <row r="197" ht="22.5" customHeight="1">
      <c r="A197" s="9" t="str">
        <f t="shared" si="1"/>
        <v>LEA-0196</v>
      </c>
      <c r="B197" s="20">
        <v>46006.0</v>
      </c>
      <c r="C197" s="16" t="s">
        <v>39</v>
      </c>
      <c r="D197" s="16" t="s">
        <v>62</v>
      </c>
      <c r="E197" s="17" t="s">
        <v>403</v>
      </c>
      <c r="F197" s="17">
        <v>9.591940224E9</v>
      </c>
      <c r="G197" s="17"/>
      <c r="H197" s="17"/>
      <c r="I197" s="17" t="s">
        <v>397</v>
      </c>
      <c r="J197" s="17" t="s">
        <v>77</v>
      </c>
      <c r="K197" s="16" t="s">
        <v>77</v>
      </c>
      <c r="L197" s="17">
        <v>1.6</v>
      </c>
      <c r="M197" s="32" t="s">
        <v>16</v>
      </c>
      <c r="N197" s="19">
        <v>3.0</v>
      </c>
      <c r="O197" s="17">
        <v>1000.0</v>
      </c>
      <c r="P197" s="16"/>
      <c r="Q197" s="18"/>
      <c r="R197" s="36" t="s">
        <v>15</v>
      </c>
      <c r="S197" s="14">
        <f t="shared" si="3"/>
        <v>46039</v>
      </c>
      <c r="T197" s="8"/>
      <c r="U197" s="8"/>
      <c r="V197" s="8"/>
      <c r="W197" s="8"/>
      <c r="X197" s="8"/>
      <c r="Y197" s="8"/>
      <c r="Z197" s="8"/>
    </row>
    <row r="198" ht="22.5" customHeight="1">
      <c r="A198" s="9" t="str">
        <f t="shared" si="1"/>
        <v>LEA-0197</v>
      </c>
      <c r="B198" s="20">
        <v>46007.0</v>
      </c>
      <c r="C198" s="16" t="s">
        <v>39</v>
      </c>
      <c r="D198" s="16" t="s">
        <v>62</v>
      </c>
      <c r="E198" s="17" t="s">
        <v>404</v>
      </c>
      <c r="F198" s="17">
        <v>9.844299598E9</v>
      </c>
      <c r="G198" s="17"/>
      <c r="H198" s="17"/>
      <c r="I198" s="17" t="s">
        <v>405</v>
      </c>
      <c r="J198" s="17" t="s">
        <v>356</v>
      </c>
      <c r="K198" s="16" t="s">
        <v>77</v>
      </c>
      <c r="L198" s="17">
        <v>1.5</v>
      </c>
      <c r="M198" s="32" t="s">
        <v>16</v>
      </c>
      <c r="N198" s="19">
        <v>25.0</v>
      </c>
      <c r="O198" s="17">
        <v>9000.0</v>
      </c>
      <c r="P198" s="16"/>
      <c r="Q198" s="18"/>
      <c r="R198" s="36" t="s">
        <v>15</v>
      </c>
      <c r="S198" s="14">
        <f t="shared" si="3"/>
        <v>46039</v>
      </c>
      <c r="T198" s="8"/>
      <c r="U198" s="8"/>
      <c r="V198" s="8"/>
      <c r="W198" s="8"/>
      <c r="X198" s="8"/>
      <c r="Y198" s="8"/>
      <c r="Z198" s="8"/>
    </row>
    <row r="199" ht="22.5" customHeight="1">
      <c r="A199" s="9" t="str">
        <f t="shared" si="1"/>
        <v>LEA-0198</v>
      </c>
      <c r="B199" s="20">
        <v>46007.0</v>
      </c>
      <c r="C199" s="16" t="s">
        <v>39</v>
      </c>
      <c r="D199" s="16" t="s">
        <v>62</v>
      </c>
      <c r="E199" s="17" t="s">
        <v>406</v>
      </c>
      <c r="F199" s="17">
        <v>9.61196456E9</v>
      </c>
      <c r="G199" s="17"/>
      <c r="H199" s="17"/>
      <c r="I199" s="17" t="s">
        <v>407</v>
      </c>
      <c r="J199" s="17" t="s">
        <v>130</v>
      </c>
      <c r="K199" s="16" t="s">
        <v>77</v>
      </c>
      <c r="L199" s="17">
        <v>7.0</v>
      </c>
      <c r="M199" s="32" t="s">
        <v>16</v>
      </c>
      <c r="N199" s="19">
        <v>10.0</v>
      </c>
      <c r="O199" s="17">
        <v>4200.0</v>
      </c>
      <c r="P199" s="16"/>
      <c r="Q199" s="18"/>
      <c r="R199" s="36" t="s">
        <v>15</v>
      </c>
      <c r="S199" s="14">
        <f t="shared" si="3"/>
        <v>46039</v>
      </c>
      <c r="T199" s="8"/>
      <c r="U199" s="8"/>
      <c r="V199" s="8"/>
      <c r="W199" s="8"/>
      <c r="X199" s="8"/>
      <c r="Y199" s="8"/>
      <c r="Z199" s="8"/>
    </row>
    <row r="200" ht="22.5" customHeight="1">
      <c r="A200" s="9" t="str">
        <f t="shared" si="1"/>
        <v>LEA-0199</v>
      </c>
      <c r="B200" s="20">
        <v>46007.0</v>
      </c>
      <c r="C200" s="16" t="s">
        <v>39</v>
      </c>
      <c r="D200" s="16" t="s">
        <v>62</v>
      </c>
      <c r="E200" s="17" t="s">
        <v>332</v>
      </c>
      <c r="F200" s="17">
        <v>8.050300941E9</v>
      </c>
      <c r="G200" s="17"/>
      <c r="H200" s="17"/>
      <c r="I200" s="17" t="s">
        <v>405</v>
      </c>
      <c r="J200" s="17" t="s">
        <v>356</v>
      </c>
      <c r="K200" s="16" t="s">
        <v>77</v>
      </c>
      <c r="L200" s="17">
        <v>1.6</v>
      </c>
      <c r="M200" s="32" t="s">
        <v>16</v>
      </c>
      <c r="N200" s="19">
        <v>30.0</v>
      </c>
      <c r="O200" s="17">
        <v>1000.0</v>
      </c>
      <c r="P200" s="16"/>
      <c r="Q200" s="18"/>
      <c r="R200" s="36" t="s">
        <v>15</v>
      </c>
      <c r="S200" s="14">
        <f t="shared" si="3"/>
        <v>46039</v>
      </c>
      <c r="T200" s="8"/>
      <c r="U200" s="8"/>
      <c r="V200" s="8"/>
      <c r="W200" s="8"/>
      <c r="X200" s="8"/>
      <c r="Y200" s="8"/>
      <c r="Z200" s="8"/>
    </row>
    <row r="201" ht="22.5" customHeight="1">
      <c r="A201" s="9" t="str">
        <f t="shared" si="1"/>
        <v>LEA-0200</v>
      </c>
      <c r="B201" s="20">
        <v>46007.0</v>
      </c>
      <c r="C201" s="16" t="s">
        <v>39</v>
      </c>
      <c r="D201" s="16" t="s">
        <v>62</v>
      </c>
      <c r="E201" s="17" t="s">
        <v>408</v>
      </c>
      <c r="F201" s="17">
        <v>8.496032677E9</v>
      </c>
      <c r="G201" s="17"/>
      <c r="H201" s="17"/>
      <c r="I201" s="17" t="s">
        <v>338</v>
      </c>
      <c r="J201" s="17" t="s">
        <v>77</v>
      </c>
      <c r="K201" s="16" t="s">
        <v>77</v>
      </c>
      <c r="L201" s="17">
        <v>1.6</v>
      </c>
      <c r="M201" s="32" t="s">
        <v>16</v>
      </c>
      <c r="N201" s="19">
        <v>8.0</v>
      </c>
      <c r="O201" s="17">
        <v>1000.0</v>
      </c>
      <c r="P201" s="16"/>
      <c r="Q201" s="18"/>
      <c r="R201" s="36" t="s">
        <v>15</v>
      </c>
      <c r="S201" s="14">
        <f t="shared" si="3"/>
        <v>46039</v>
      </c>
      <c r="T201" s="8"/>
      <c r="U201" s="8"/>
      <c r="V201" s="8"/>
      <c r="W201" s="8"/>
      <c r="X201" s="8"/>
      <c r="Y201" s="8"/>
      <c r="Z201" s="8"/>
    </row>
    <row r="202" ht="22.5" customHeight="1">
      <c r="A202" s="9" t="str">
        <f t="shared" si="1"/>
        <v>LEA-0201</v>
      </c>
      <c r="B202" s="20">
        <v>46007.0</v>
      </c>
      <c r="C202" s="16" t="s">
        <v>39</v>
      </c>
      <c r="D202" s="16" t="s">
        <v>62</v>
      </c>
      <c r="E202" s="17" t="s">
        <v>409</v>
      </c>
      <c r="F202" s="17">
        <v>9.448388074E9</v>
      </c>
      <c r="G202" s="17"/>
      <c r="H202" s="17"/>
      <c r="I202" s="17" t="s">
        <v>410</v>
      </c>
      <c r="J202" s="17" t="s">
        <v>411</v>
      </c>
      <c r="K202" s="16" t="s">
        <v>77</v>
      </c>
      <c r="L202" s="17">
        <v>2.0</v>
      </c>
      <c r="M202" s="32" t="s">
        <v>16</v>
      </c>
      <c r="N202" s="19">
        <v>7.0</v>
      </c>
      <c r="O202" s="17">
        <v>1200.0</v>
      </c>
      <c r="P202" s="16"/>
      <c r="Q202" s="18"/>
      <c r="R202" s="36" t="s">
        <v>15</v>
      </c>
      <c r="S202" s="14">
        <f t="shared" si="3"/>
        <v>46039</v>
      </c>
      <c r="T202" s="8"/>
      <c r="U202" s="8"/>
      <c r="V202" s="8"/>
      <c r="W202" s="8"/>
      <c r="X202" s="8"/>
      <c r="Y202" s="8"/>
      <c r="Z202" s="8"/>
    </row>
    <row r="203" ht="22.5" customHeight="1">
      <c r="A203" s="9" t="str">
        <f t="shared" si="1"/>
        <v>LEA-0202</v>
      </c>
      <c r="B203" s="20">
        <v>46007.0</v>
      </c>
      <c r="C203" s="16" t="s">
        <v>39</v>
      </c>
      <c r="D203" s="16" t="s">
        <v>62</v>
      </c>
      <c r="E203" s="17" t="s">
        <v>412</v>
      </c>
      <c r="F203" s="17">
        <v>9.242126636E9</v>
      </c>
      <c r="G203" s="17"/>
      <c r="H203" s="17"/>
      <c r="I203" s="17" t="s">
        <v>413</v>
      </c>
      <c r="J203" s="17" t="s">
        <v>77</v>
      </c>
      <c r="K203" s="16" t="s">
        <v>77</v>
      </c>
      <c r="L203" s="17">
        <v>2.0</v>
      </c>
      <c r="M203" s="32" t="s">
        <v>16</v>
      </c>
      <c r="N203" s="19">
        <v>30.0</v>
      </c>
      <c r="O203" s="17">
        <v>1200.0</v>
      </c>
      <c r="P203" s="16"/>
      <c r="Q203" s="18"/>
      <c r="R203" s="36" t="s">
        <v>15</v>
      </c>
      <c r="S203" s="14">
        <f t="shared" si="3"/>
        <v>46039</v>
      </c>
      <c r="T203" s="8"/>
      <c r="U203" s="8"/>
      <c r="V203" s="8"/>
      <c r="W203" s="8"/>
      <c r="X203" s="8"/>
      <c r="Y203" s="8"/>
      <c r="Z203" s="8"/>
    </row>
    <row r="204" ht="22.5" customHeight="1">
      <c r="A204" s="9" t="str">
        <f t="shared" si="1"/>
        <v>LEA-0203</v>
      </c>
      <c r="B204" s="20">
        <v>46007.0</v>
      </c>
      <c r="C204" s="16" t="s">
        <v>39</v>
      </c>
      <c r="D204" s="16" t="s">
        <v>62</v>
      </c>
      <c r="E204" s="17" t="s">
        <v>414</v>
      </c>
      <c r="F204" s="17">
        <v>9.980165011E9</v>
      </c>
      <c r="G204" s="17"/>
      <c r="H204" s="17"/>
      <c r="I204" s="17" t="s">
        <v>377</v>
      </c>
      <c r="J204" s="17" t="s">
        <v>77</v>
      </c>
      <c r="K204" s="16" t="s">
        <v>77</v>
      </c>
      <c r="L204" s="17">
        <v>50.0</v>
      </c>
      <c r="M204" s="32" t="s">
        <v>16</v>
      </c>
      <c r="N204" s="19">
        <v>35.0</v>
      </c>
      <c r="O204" s="17">
        <v>30000.0</v>
      </c>
      <c r="P204" s="16"/>
      <c r="Q204" s="18"/>
      <c r="R204" s="36" t="s">
        <v>15</v>
      </c>
      <c r="S204" s="14">
        <f t="shared" si="3"/>
        <v>46039</v>
      </c>
      <c r="T204" s="8"/>
      <c r="U204" s="8"/>
      <c r="V204" s="8"/>
      <c r="W204" s="8"/>
      <c r="X204" s="8"/>
      <c r="Y204" s="8"/>
      <c r="Z204" s="8"/>
    </row>
    <row r="205" ht="22.5" customHeight="1">
      <c r="A205" s="9" t="str">
        <f t="shared" si="1"/>
        <v>LEA-0204</v>
      </c>
      <c r="B205" s="20">
        <v>46007.0</v>
      </c>
      <c r="C205" s="16" t="s">
        <v>39</v>
      </c>
      <c r="D205" s="16" t="s">
        <v>62</v>
      </c>
      <c r="E205" s="17" t="s">
        <v>415</v>
      </c>
      <c r="F205" s="17">
        <v>9.606835867E9</v>
      </c>
      <c r="G205" s="17"/>
      <c r="H205" s="17"/>
      <c r="I205" s="17" t="s">
        <v>410</v>
      </c>
      <c r="J205" s="17" t="s">
        <v>345</v>
      </c>
      <c r="K205" s="16" t="s">
        <v>77</v>
      </c>
      <c r="L205" s="17">
        <v>2.0</v>
      </c>
      <c r="M205" s="32" t="s">
        <v>16</v>
      </c>
      <c r="N205" s="19">
        <v>25.0</v>
      </c>
      <c r="O205" s="17">
        <v>1200.0</v>
      </c>
      <c r="P205" s="16"/>
      <c r="Q205" s="18"/>
      <c r="R205" s="36" t="s">
        <v>15</v>
      </c>
      <c r="S205" s="14">
        <f t="shared" si="3"/>
        <v>46039</v>
      </c>
      <c r="T205" s="8"/>
      <c r="U205" s="8"/>
      <c r="V205" s="8"/>
      <c r="W205" s="8"/>
      <c r="X205" s="8"/>
      <c r="Y205" s="8"/>
      <c r="Z205" s="8"/>
    </row>
    <row r="206" ht="22.5" customHeight="1">
      <c r="A206" s="9" t="str">
        <f t="shared" si="1"/>
        <v>LEA-0205</v>
      </c>
      <c r="B206" s="20">
        <v>46007.0</v>
      </c>
      <c r="C206" s="16" t="s">
        <v>39</v>
      </c>
      <c r="D206" s="16" t="s">
        <v>62</v>
      </c>
      <c r="E206" s="17" t="s">
        <v>416</v>
      </c>
      <c r="F206" s="17">
        <v>7.204852798E9</v>
      </c>
      <c r="G206" s="17"/>
      <c r="H206" s="17"/>
      <c r="I206" s="17" t="s">
        <v>410</v>
      </c>
      <c r="J206" s="17" t="s">
        <v>345</v>
      </c>
      <c r="K206" s="16" t="s">
        <v>77</v>
      </c>
      <c r="L206" s="17">
        <v>1.0</v>
      </c>
      <c r="M206" s="32" t="s">
        <v>16</v>
      </c>
      <c r="N206" s="19">
        <v>10.0</v>
      </c>
      <c r="O206" s="17">
        <v>600.0</v>
      </c>
      <c r="P206" s="16"/>
      <c r="Q206" s="18"/>
      <c r="R206" s="36" t="s">
        <v>15</v>
      </c>
      <c r="S206" s="14">
        <f t="shared" si="3"/>
        <v>46039</v>
      </c>
      <c r="T206" s="8"/>
      <c r="U206" s="8"/>
      <c r="V206" s="8"/>
      <c r="W206" s="8"/>
      <c r="X206" s="8"/>
      <c r="Y206" s="8"/>
      <c r="Z206" s="8"/>
    </row>
    <row r="207" ht="22.5" customHeight="1">
      <c r="A207" s="9" t="str">
        <f t="shared" si="1"/>
        <v>LEA-0206</v>
      </c>
      <c r="B207" s="20">
        <v>46008.0</v>
      </c>
      <c r="C207" s="16" t="s">
        <v>39</v>
      </c>
      <c r="D207" s="16" t="s">
        <v>62</v>
      </c>
      <c r="E207" s="17" t="s">
        <v>417</v>
      </c>
      <c r="F207" s="17">
        <v>7.259210871E9</v>
      </c>
      <c r="G207" s="17"/>
      <c r="H207" s="17"/>
      <c r="I207" s="17" t="s">
        <v>418</v>
      </c>
      <c r="J207" s="17" t="s">
        <v>419</v>
      </c>
      <c r="K207" s="16" t="s">
        <v>77</v>
      </c>
      <c r="L207" s="17">
        <v>22.0</v>
      </c>
      <c r="M207" s="32" t="s">
        <v>16</v>
      </c>
      <c r="N207" s="19">
        <v>50.0</v>
      </c>
      <c r="O207" s="17">
        <v>13200.0</v>
      </c>
      <c r="P207" s="16"/>
      <c r="Q207" s="18"/>
      <c r="R207" s="36" t="s">
        <v>15</v>
      </c>
      <c r="S207" s="14">
        <f t="shared" si="3"/>
        <v>46039</v>
      </c>
      <c r="T207" s="8"/>
      <c r="U207" s="8"/>
      <c r="V207" s="8"/>
      <c r="W207" s="8"/>
      <c r="X207" s="8"/>
      <c r="Y207" s="8"/>
      <c r="Z207" s="8"/>
    </row>
    <row r="208" ht="22.5" customHeight="1">
      <c r="A208" s="9" t="str">
        <f t="shared" si="1"/>
        <v>LEA-0207</v>
      </c>
      <c r="B208" s="20">
        <v>46008.0</v>
      </c>
      <c r="C208" s="16" t="s">
        <v>39</v>
      </c>
      <c r="D208" s="16" t="s">
        <v>62</v>
      </c>
      <c r="E208" s="17" t="s">
        <v>181</v>
      </c>
      <c r="F208" s="17">
        <v>8.147003949E9</v>
      </c>
      <c r="G208" s="17"/>
      <c r="H208" s="17"/>
      <c r="I208" s="17" t="s">
        <v>420</v>
      </c>
      <c r="J208" s="17" t="s">
        <v>419</v>
      </c>
      <c r="K208" s="16" t="s">
        <v>77</v>
      </c>
      <c r="L208" s="17">
        <v>5.0</v>
      </c>
      <c r="M208" s="32" t="s">
        <v>16</v>
      </c>
      <c r="N208" s="19">
        <v>50.0</v>
      </c>
      <c r="O208" s="17">
        <v>3000.0</v>
      </c>
      <c r="P208" s="16"/>
      <c r="Q208" s="18"/>
      <c r="R208" s="36" t="s">
        <v>15</v>
      </c>
      <c r="S208" s="14">
        <f t="shared" si="3"/>
        <v>46039</v>
      </c>
      <c r="T208" s="8"/>
      <c r="U208" s="8"/>
      <c r="V208" s="8"/>
      <c r="W208" s="8"/>
      <c r="X208" s="8"/>
      <c r="Y208" s="8"/>
      <c r="Z208" s="8"/>
    </row>
    <row r="209" ht="22.5" customHeight="1">
      <c r="A209" s="9" t="str">
        <f t="shared" si="1"/>
        <v>LEA-0208</v>
      </c>
      <c r="B209" s="20">
        <v>46008.0</v>
      </c>
      <c r="C209" s="16" t="s">
        <v>39</v>
      </c>
      <c r="D209" s="16" t="s">
        <v>62</v>
      </c>
      <c r="E209" s="17" t="s">
        <v>297</v>
      </c>
      <c r="F209" s="17">
        <v>8.762755139E9</v>
      </c>
      <c r="G209" s="17"/>
      <c r="H209" s="17"/>
      <c r="I209" s="17" t="s">
        <v>421</v>
      </c>
      <c r="J209" s="17" t="s">
        <v>419</v>
      </c>
      <c r="K209" s="16" t="s">
        <v>77</v>
      </c>
      <c r="L209" s="17">
        <v>3.0</v>
      </c>
      <c r="M209" s="32" t="s">
        <v>16</v>
      </c>
      <c r="N209" s="19">
        <v>7.0</v>
      </c>
      <c r="O209" s="17">
        <v>1800.0</v>
      </c>
      <c r="P209" s="16"/>
      <c r="Q209" s="18"/>
      <c r="R209" s="36" t="s">
        <v>15</v>
      </c>
      <c r="S209" s="14">
        <f t="shared" si="3"/>
        <v>46039</v>
      </c>
      <c r="T209" s="8"/>
      <c r="U209" s="8"/>
      <c r="V209" s="8"/>
      <c r="W209" s="8"/>
      <c r="X209" s="8"/>
      <c r="Y209" s="8"/>
      <c r="Z209" s="8"/>
    </row>
    <row r="210" ht="22.5" customHeight="1">
      <c r="A210" s="9" t="str">
        <f t="shared" si="1"/>
        <v>LEA-0209</v>
      </c>
      <c r="B210" s="20">
        <v>46008.0</v>
      </c>
      <c r="C210" s="16" t="s">
        <v>39</v>
      </c>
      <c r="D210" s="16" t="s">
        <v>62</v>
      </c>
      <c r="E210" s="17" t="s">
        <v>422</v>
      </c>
      <c r="F210" s="17">
        <v>6.362700166E9</v>
      </c>
      <c r="G210" s="17"/>
      <c r="H210" s="17"/>
      <c r="I210" s="17" t="s">
        <v>423</v>
      </c>
      <c r="J210" s="17" t="s">
        <v>419</v>
      </c>
      <c r="K210" s="16" t="s">
        <v>77</v>
      </c>
      <c r="L210" s="17">
        <v>1.0</v>
      </c>
      <c r="M210" s="32" t="s">
        <v>16</v>
      </c>
      <c r="N210" s="19">
        <v>7.0</v>
      </c>
      <c r="O210" s="17">
        <v>600.0</v>
      </c>
      <c r="P210" s="16"/>
      <c r="Q210" s="18"/>
      <c r="R210" s="36" t="s">
        <v>15</v>
      </c>
      <c r="S210" s="14">
        <f t="shared" si="3"/>
        <v>46039</v>
      </c>
      <c r="T210" s="8"/>
      <c r="U210" s="8"/>
      <c r="V210" s="8"/>
      <c r="W210" s="8"/>
      <c r="X210" s="8"/>
      <c r="Y210" s="8"/>
      <c r="Z210" s="8"/>
    </row>
    <row r="211" ht="22.5" customHeight="1">
      <c r="A211" s="9" t="str">
        <f t="shared" si="1"/>
        <v>LEA-0210</v>
      </c>
      <c r="B211" s="20">
        <v>46009.0</v>
      </c>
      <c r="C211" s="16" t="s">
        <v>39</v>
      </c>
      <c r="D211" s="16" t="s">
        <v>62</v>
      </c>
      <c r="E211" s="17" t="s">
        <v>424</v>
      </c>
      <c r="F211" s="17">
        <v>8.105340771E9</v>
      </c>
      <c r="G211" s="17"/>
      <c r="H211" s="17"/>
      <c r="I211" s="17" t="s">
        <v>425</v>
      </c>
      <c r="J211" s="17" t="s">
        <v>77</v>
      </c>
      <c r="K211" s="16" t="s">
        <v>77</v>
      </c>
      <c r="L211" s="17">
        <v>20.0</v>
      </c>
      <c r="M211" s="32" t="s">
        <v>16</v>
      </c>
      <c r="N211" s="19">
        <v>10.0</v>
      </c>
      <c r="O211" s="17">
        <v>12000.0</v>
      </c>
      <c r="P211" s="16"/>
      <c r="Q211" s="18"/>
      <c r="R211" s="36" t="s">
        <v>15</v>
      </c>
      <c r="S211" s="14">
        <f t="shared" si="3"/>
        <v>46039</v>
      </c>
      <c r="T211" s="8"/>
      <c r="U211" s="8"/>
      <c r="V211" s="8"/>
      <c r="W211" s="8"/>
      <c r="X211" s="8"/>
      <c r="Y211" s="8"/>
      <c r="Z211" s="8"/>
    </row>
    <row r="212" ht="22.5" customHeight="1">
      <c r="A212" s="9" t="str">
        <f t="shared" si="1"/>
        <v>LEA-0211</v>
      </c>
      <c r="B212" s="20">
        <v>46009.0</v>
      </c>
      <c r="C212" s="16" t="s">
        <v>39</v>
      </c>
      <c r="D212" s="16" t="s">
        <v>62</v>
      </c>
      <c r="E212" s="17" t="s">
        <v>426</v>
      </c>
      <c r="F212" s="17">
        <v>9.019900667E9</v>
      </c>
      <c r="G212" s="17"/>
      <c r="H212" s="17"/>
      <c r="I212" s="17" t="s">
        <v>425</v>
      </c>
      <c r="J212" s="17" t="s">
        <v>77</v>
      </c>
      <c r="K212" s="16" t="s">
        <v>77</v>
      </c>
      <c r="L212" s="17">
        <v>15.0</v>
      </c>
      <c r="M212" s="32" t="s">
        <v>16</v>
      </c>
      <c r="N212" s="19">
        <v>20.0</v>
      </c>
      <c r="O212" s="17">
        <v>9000.0</v>
      </c>
      <c r="P212" s="16"/>
      <c r="Q212" s="18"/>
      <c r="R212" s="36" t="s">
        <v>15</v>
      </c>
      <c r="S212" s="14">
        <f t="shared" si="3"/>
        <v>46039</v>
      </c>
      <c r="T212" s="8"/>
      <c r="U212" s="8"/>
      <c r="V212" s="8"/>
      <c r="W212" s="8"/>
      <c r="X212" s="8"/>
      <c r="Y212" s="8"/>
      <c r="Z212" s="8"/>
    </row>
    <row r="213" ht="22.5" customHeight="1">
      <c r="A213" s="9" t="str">
        <f t="shared" si="1"/>
        <v>LEA-0212</v>
      </c>
      <c r="B213" s="20">
        <v>46009.0</v>
      </c>
      <c r="C213" s="16" t="s">
        <v>39</v>
      </c>
      <c r="D213" s="16" t="s">
        <v>62</v>
      </c>
      <c r="E213" s="17" t="s">
        <v>427</v>
      </c>
      <c r="F213" s="17">
        <v>9.535315786E9</v>
      </c>
      <c r="G213" s="17"/>
      <c r="H213" s="17"/>
      <c r="I213" s="17" t="s">
        <v>425</v>
      </c>
      <c r="J213" s="17" t="s">
        <v>77</v>
      </c>
      <c r="K213" s="16" t="s">
        <v>77</v>
      </c>
      <c r="L213" s="17">
        <v>10.0</v>
      </c>
      <c r="M213" s="32" t="s">
        <v>16</v>
      </c>
      <c r="N213" s="19">
        <v>20.0</v>
      </c>
      <c r="O213" s="17">
        <v>6000.0</v>
      </c>
      <c r="P213" s="16"/>
      <c r="Q213" s="18"/>
      <c r="R213" s="36" t="s">
        <v>15</v>
      </c>
      <c r="S213" s="14">
        <f t="shared" si="3"/>
        <v>46039</v>
      </c>
      <c r="T213" s="8"/>
      <c r="U213" s="8"/>
      <c r="V213" s="8"/>
      <c r="W213" s="8"/>
      <c r="X213" s="8"/>
      <c r="Y213" s="8"/>
      <c r="Z213" s="8"/>
    </row>
    <row r="214" ht="22.5" customHeight="1">
      <c r="A214" s="9" t="str">
        <f t="shared" si="1"/>
        <v>LEA-0213</v>
      </c>
      <c r="B214" s="20">
        <v>46009.0</v>
      </c>
      <c r="C214" s="16" t="s">
        <v>39</v>
      </c>
      <c r="D214" s="16" t="s">
        <v>62</v>
      </c>
      <c r="E214" s="17" t="s">
        <v>428</v>
      </c>
      <c r="F214" s="17">
        <v>8.970343645E9</v>
      </c>
      <c r="G214" s="17"/>
      <c r="H214" s="17"/>
      <c r="I214" s="17" t="s">
        <v>429</v>
      </c>
      <c r="J214" s="17" t="s">
        <v>77</v>
      </c>
      <c r="K214" s="16" t="s">
        <v>77</v>
      </c>
      <c r="L214" s="17">
        <v>3.0</v>
      </c>
      <c r="M214" s="32" t="s">
        <v>16</v>
      </c>
      <c r="N214" s="19">
        <v>4.0</v>
      </c>
      <c r="O214" s="17">
        <v>1800.0</v>
      </c>
      <c r="P214" s="16"/>
      <c r="Q214" s="18"/>
      <c r="R214" s="36" t="s">
        <v>15</v>
      </c>
      <c r="S214" s="14">
        <f t="shared" si="3"/>
        <v>46039</v>
      </c>
      <c r="T214" s="8"/>
      <c r="U214" s="8"/>
      <c r="V214" s="8"/>
      <c r="W214" s="8"/>
      <c r="X214" s="8"/>
      <c r="Y214" s="8"/>
      <c r="Z214" s="8"/>
    </row>
    <row r="215" ht="22.5" customHeight="1">
      <c r="A215" s="9" t="str">
        <f t="shared" si="1"/>
        <v>LEA-0214</v>
      </c>
      <c r="B215" s="20">
        <v>46009.0</v>
      </c>
      <c r="C215" s="16" t="s">
        <v>39</v>
      </c>
      <c r="D215" s="16" t="s">
        <v>62</v>
      </c>
      <c r="E215" s="17" t="s">
        <v>430</v>
      </c>
      <c r="F215" s="17">
        <v>9.972989928E9</v>
      </c>
      <c r="G215" s="17"/>
      <c r="H215" s="17"/>
      <c r="I215" s="17" t="s">
        <v>425</v>
      </c>
      <c r="J215" s="17" t="s">
        <v>77</v>
      </c>
      <c r="K215" s="16" t="s">
        <v>77</v>
      </c>
      <c r="L215" s="17">
        <v>3.0</v>
      </c>
      <c r="M215" s="32" t="s">
        <v>16</v>
      </c>
      <c r="N215" s="19">
        <v>4.0</v>
      </c>
      <c r="O215" s="17">
        <v>1800.0</v>
      </c>
      <c r="P215" s="16"/>
      <c r="Q215" s="18"/>
      <c r="R215" s="36" t="s">
        <v>15</v>
      </c>
      <c r="S215" s="14">
        <f t="shared" si="3"/>
        <v>46039</v>
      </c>
      <c r="T215" s="8"/>
      <c r="U215" s="8"/>
      <c r="V215" s="8"/>
      <c r="W215" s="8"/>
      <c r="X215" s="8"/>
      <c r="Y215" s="8"/>
      <c r="Z215" s="8"/>
    </row>
    <row r="216" ht="22.5" customHeight="1">
      <c r="A216" s="9" t="str">
        <f t="shared" si="1"/>
        <v>LEA-0215</v>
      </c>
      <c r="B216" s="20">
        <v>46009.0</v>
      </c>
      <c r="C216" s="16" t="s">
        <v>39</v>
      </c>
      <c r="D216" s="16" t="s">
        <v>62</v>
      </c>
      <c r="E216" s="17" t="s">
        <v>431</v>
      </c>
      <c r="F216" s="17">
        <v>9.900963934E9</v>
      </c>
      <c r="G216" s="17"/>
      <c r="H216" s="17"/>
      <c r="I216" s="17" t="s">
        <v>425</v>
      </c>
      <c r="J216" s="17" t="s">
        <v>77</v>
      </c>
      <c r="K216" s="16" t="s">
        <v>77</v>
      </c>
      <c r="L216" s="17">
        <v>3.0</v>
      </c>
      <c r="M216" s="32" t="s">
        <v>16</v>
      </c>
      <c r="N216" s="19">
        <v>3.0</v>
      </c>
      <c r="O216" s="17">
        <v>1800.0</v>
      </c>
      <c r="P216" s="16"/>
      <c r="Q216" s="18"/>
      <c r="R216" s="36" t="s">
        <v>15</v>
      </c>
      <c r="S216" s="14">
        <f t="shared" si="3"/>
        <v>46039</v>
      </c>
      <c r="T216" s="8"/>
      <c r="U216" s="8"/>
      <c r="V216" s="8"/>
      <c r="W216" s="8"/>
      <c r="X216" s="8"/>
      <c r="Y216" s="8"/>
      <c r="Z216" s="8"/>
    </row>
    <row r="217" ht="22.5" customHeight="1">
      <c r="A217" s="9" t="str">
        <f t="shared" si="1"/>
        <v>LEA-0216</v>
      </c>
      <c r="B217" s="20">
        <v>46009.0</v>
      </c>
      <c r="C217" s="16" t="s">
        <v>39</v>
      </c>
      <c r="D217" s="16" t="s">
        <v>62</v>
      </c>
      <c r="E217" s="17" t="s">
        <v>432</v>
      </c>
      <c r="F217" s="17">
        <v>9.900966542E9</v>
      </c>
      <c r="G217" s="17"/>
      <c r="H217" s="17"/>
      <c r="I217" s="17" t="s">
        <v>433</v>
      </c>
      <c r="J217" s="17" t="s">
        <v>77</v>
      </c>
      <c r="K217" s="16" t="s">
        <v>77</v>
      </c>
      <c r="L217" s="17">
        <v>1.6</v>
      </c>
      <c r="M217" s="32" t="s">
        <v>16</v>
      </c>
      <c r="N217" s="19">
        <v>15.0</v>
      </c>
      <c r="O217" s="17">
        <v>1000.0</v>
      </c>
      <c r="P217" s="16"/>
      <c r="Q217" s="18"/>
      <c r="R217" s="36" t="s">
        <v>15</v>
      </c>
      <c r="S217" s="14">
        <f t="shared" si="3"/>
        <v>46039</v>
      </c>
      <c r="T217" s="8"/>
      <c r="U217" s="8"/>
      <c r="V217" s="8"/>
      <c r="W217" s="8"/>
      <c r="X217" s="8"/>
      <c r="Y217" s="8"/>
      <c r="Z217" s="8"/>
    </row>
    <row r="218" ht="22.5" customHeight="1">
      <c r="A218" s="9" t="str">
        <f t="shared" si="1"/>
        <v>LEA-0217</v>
      </c>
      <c r="B218" s="20">
        <v>46009.0</v>
      </c>
      <c r="C218" s="16" t="s">
        <v>39</v>
      </c>
      <c r="D218" s="16" t="s">
        <v>62</v>
      </c>
      <c r="E218" s="17" t="s">
        <v>434</v>
      </c>
      <c r="F218" s="17">
        <v>9.900255165E9</v>
      </c>
      <c r="G218" s="17"/>
      <c r="H218" s="17"/>
      <c r="I218" s="17" t="s">
        <v>425</v>
      </c>
      <c r="J218" s="17" t="s">
        <v>77</v>
      </c>
      <c r="K218" s="16" t="s">
        <v>77</v>
      </c>
      <c r="L218" s="17">
        <v>2.5</v>
      </c>
      <c r="M218" s="32" t="s">
        <v>16</v>
      </c>
      <c r="N218" s="19">
        <v>13.0</v>
      </c>
      <c r="O218" s="17">
        <v>1500.0</v>
      </c>
      <c r="P218" s="16"/>
      <c r="Q218" s="18"/>
      <c r="R218" s="36" t="s">
        <v>15</v>
      </c>
      <c r="S218" s="14">
        <f t="shared" si="3"/>
        <v>46039</v>
      </c>
      <c r="T218" s="8"/>
      <c r="U218" s="8"/>
      <c r="V218" s="8"/>
      <c r="W218" s="8"/>
      <c r="X218" s="8"/>
      <c r="Y218" s="8"/>
      <c r="Z218" s="8"/>
    </row>
    <row r="219" ht="22.5" customHeight="1">
      <c r="A219" s="9" t="str">
        <f t="shared" si="1"/>
        <v>LEA-0218</v>
      </c>
      <c r="B219" s="20">
        <v>46014.0</v>
      </c>
      <c r="C219" s="16" t="s">
        <v>39</v>
      </c>
      <c r="D219" s="16" t="s">
        <v>62</v>
      </c>
      <c r="E219" s="17" t="s">
        <v>435</v>
      </c>
      <c r="F219" s="17">
        <v>9.663267171E9</v>
      </c>
      <c r="G219" s="17"/>
      <c r="H219" s="17"/>
      <c r="I219" s="17" t="s">
        <v>436</v>
      </c>
      <c r="J219" s="17" t="s">
        <v>77</v>
      </c>
      <c r="K219" s="16" t="s">
        <v>77</v>
      </c>
      <c r="L219" s="17">
        <v>3.0</v>
      </c>
      <c r="M219" s="32" t="s">
        <v>16</v>
      </c>
      <c r="N219" s="19">
        <v>20.0</v>
      </c>
      <c r="O219" s="17">
        <v>2400.0</v>
      </c>
      <c r="P219" s="16"/>
      <c r="Q219" s="18"/>
      <c r="R219" s="36" t="s">
        <v>15</v>
      </c>
      <c r="S219" s="14">
        <f t="shared" si="3"/>
        <v>46039</v>
      </c>
      <c r="T219" s="8"/>
      <c r="U219" s="8"/>
      <c r="V219" s="8"/>
      <c r="W219" s="8"/>
      <c r="X219" s="8"/>
      <c r="Y219" s="8"/>
      <c r="Z219" s="8"/>
    </row>
    <row r="220" ht="22.5" customHeight="1">
      <c r="A220" s="9" t="str">
        <f t="shared" si="1"/>
        <v>LEA-0219</v>
      </c>
      <c r="B220" s="20">
        <v>46014.0</v>
      </c>
      <c r="C220" s="16" t="s">
        <v>39</v>
      </c>
      <c r="D220" s="16" t="s">
        <v>62</v>
      </c>
      <c r="E220" s="17" t="s">
        <v>212</v>
      </c>
      <c r="F220" s="17">
        <v>9.901732945E9</v>
      </c>
      <c r="G220" s="17"/>
      <c r="H220" s="17"/>
      <c r="I220" s="17" t="s">
        <v>437</v>
      </c>
      <c r="J220" s="17" t="s">
        <v>77</v>
      </c>
      <c r="K220" s="16" t="s">
        <v>77</v>
      </c>
      <c r="L220" s="17">
        <v>6.0</v>
      </c>
      <c r="M220" s="32" t="s">
        <v>16</v>
      </c>
      <c r="N220" s="19">
        <v>6.0</v>
      </c>
      <c r="O220" s="17">
        <v>3600.0</v>
      </c>
      <c r="P220" s="16"/>
      <c r="Q220" s="18"/>
      <c r="R220" s="36" t="s">
        <v>15</v>
      </c>
      <c r="S220" s="14">
        <f t="shared" si="3"/>
        <v>46039</v>
      </c>
      <c r="T220" s="8"/>
      <c r="U220" s="8"/>
      <c r="V220" s="8"/>
      <c r="W220" s="8"/>
      <c r="X220" s="8"/>
      <c r="Y220" s="8"/>
      <c r="Z220" s="8"/>
    </row>
    <row r="221" ht="22.5" customHeight="1">
      <c r="A221" s="9" t="str">
        <f t="shared" si="1"/>
        <v>LEA-0220</v>
      </c>
      <c r="B221" s="20">
        <v>46014.0</v>
      </c>
      <c r="C221" s="16" t="s">
        <v>39</v>
      </c>
      <c r="D221" s="16" t="s">
        <v>62</v>
      </c>
      <c r="E221" s="17" t="s">
        <v>438</v>
      </c>
      <c r="F221" s="17">
        <v>9.44814415E9</v>
      </c>
      <c r="G221" s="17"/>
      <c r="H221" s="17"/>
      <c r="I221" s="17" t="s">
        <v>437</v>
      </c>
      <c r="J221" s="17" t="s">
        <v>77</v>
      </c>
      <c r="K221" s="16" t="s">
        <v>77</v>
      </c>
      <c r="L221" s="17">
        <v>10.0</v>
      </c>
      <c r="M221" s="32" t="s">
        <v>16</v>
      </c>
      <c r="N221" s="19">
        <v>25.0</v>
      </c>
      <c r="O221" s="17">
        <v>6000.0</v>
      </c>
      <c r="P221" s="16"/>
      <c r="Q221" s="18"/>
      <c r="R221" s="36" t="s">
        <v>15</v>
      </c>
      <c r="S221" s="14">
        <f t="shared" si="3"/>
        <v>46039</v>
      </c>
      <c r="T221" s="8"/>
      <c r="U221" s="8"/>
      <c r="V221" s="8"/>
      <c r="W221" s="8"/>
      <c r="X221" s="8"/>
      <c r="Y221" s="8"/>
      <c r="Z221" s="8"/>
    </row>
    <row r="222" ht="22.5" customHeight="1">
      <c r="A222" s="9" t="str">
        <f t="shared" si="1"/>
        <v>LEA-0221</v>
      </c>
      <c r="B222" s="20">
        <v>46014.0</v>
      </c>
      <c r="C222" s="16" t="s">
        <v>39</v>
      </c>
      <c r="D222" s="16" t="s">
        <v>62</v>
      </c>
      <c r="E222" s="17" t="s">
        <v>439</v>
      </c>
      <c r="F222" s="17">
        <v>9.90102039E8</v>
      </c>
      <c r="G222" s="17"/>
      <c r="H222" s="17"/>
      <c r="I222" s="17" t="s">
        <v>437</v>
      </c>
      <c r="J222" s="17" t="s">
        <v>77</v>
      </c>
      <c r="K222" s="16" t="s">
        <v>77</v>
      </c>
      <c r="L222" s="17">
        <v>10.0</v>
      </c>
      <c r="M222" s="32" t="s">
        <v>16</v>
      </c>
      <c r="N222" s="19">
        <v>6.0</v>
      </c>
      <c r="O222" s="17">
        <v>6000.0</v>
      </c>
      <c r="P222" s="16"/>
      <c r="Q222" s="18"/>
      <c r="R222" s="36" t="s">
        <v>15</v>
      </c>
      <c r="S222" s="14">
        <f t="shared" si="3"/>
        <v>46039</v>
      </c>
      <c r="T222" s="8"/>
      <c r="U222" s="8"/>
      <c r="V222" s="8"/>
      <c r="W222" s="8"/>
      <c r="X222" s="8"/>
      <c r="Y222" s="8"/>
      <c r="Z222" s="8"/>
    </row>
    <row r="223" ht="22.5" customHeight="1">
      <c r="A223" s="9" t="str">
        <f t="shared" si="1"/>
        <v>LEA-0222</v>
      </c>
      <c r="B223" s="20">
        <v>46014.0</v>
      </c>
      <c r="C223" s="16" t="s">
        <v>39</v>
      </c>
      <c r="D223" s="16" t="s">
        <v>62</v>
      </c>
      <c r="E223" s="17" t="s">
        <v>440</v>
      </c>
      <c r="F223" s="17">
        <v>7.996286002E9</v>
      </c>
      <c r="G223" s="17"/>
      <c r="H223" s="17"/>
      <c r="I223" s="17" t="s">
        <v>437</v>
      </c>
      <c r="J223" s="17" t="s">
        <v>77</v>
      </c>
      <c r="K223" s="16" t="s">
        <v>77</v>
      </c>
      <c r="L223" s="17">
        <v>2.0</v>
      </c>
      <c r="M223" s="32" t="s">
        <v>16</v>
      </c>
      <c r="N223" s="19">
        <v>20.0</v>
      </c>
      <c r="O223" s="17">
        <v>1200.0</v>
      </c>
      <c r="P223" s="16"/>
      <c r="Q223" s="18"/>
      <c r="R223" s="36" t="s">
        <v>15</v>
      </c>
      <c r="S223" s="14">
        <f t="shared" si="3"/>
        <v>46039</v>
      </c>
      <c r="T223" s="8"/>
      <c r="U223" s="8"/>
      <c r="V223" s="8"/>
      <c r="W223" s="8"/>
      <c r="X223" s="8"/>
      <c r="Y223" s="8"/>
      <c r="Z223" s="8"/>
    </row>
    <row r="224" ht="22.5" customHeight="1">
      <c r="A224" s="9" t="str">
        <f t="shared" si="1"/>
        <v>LEA-0223</v>
      </c>
      <c r="B224" s="20">
        <v>46014.0</v>
      </c>
      <c r="C224" s="16" t="s">
        <v>39</v>
      </c>
      <c r="D224" s="16" t="s">
        <v>62</v>
      </c>
      <c r="E224" s="17" t="s">
        <v>441</v>
      </c>
      <c r="F224" s="17">
        <v>9.00899181E9</v>
      </c>
      <c r="G224" s="17"/>
      <c r="H224" s="17"/>
      <c r="I224" s="17" t="s">
        <v>442</v>
      </c>
      <c r="J224" s="17" t="s">
        <v>77</v>
      </c>
      <c r="K224" s="16" t="s">
        <v>77</v>
      </c>
      <c r="L224" s="17">
        <v>3.0</v>
      </c>
      <c r="M224" s="32" t="s">
        <v>16</v>
      </c>
      <c r="N224" s="19">
        <v>8.0</v>
      </c>
      <c r="O224" s="17">
        <v>1800.0</v>
      </c>
      <c r="P224" s="16"/>
      <c r="Q224" s="18"/>
      <c r="R224" s="36" t="s">
        <v>15</v>
      </c>
      <c r="S224" s="14">
        <f t="shared" si="3"/>
        <v>46039</v>
      </c>
      <c r="T224" s="8"/>
      <c r="U224" s="8"/>
      <c r="V224" s="8"/>
      <c r="W224" s="8"/>
      <c r="X224" s="8"/>
      <c r="Y224" s="8"/>
      <c r="Z224" s="8"/>
    </row>
    <row r="225" ht="22.5" customHeight="1">
      <c r="A225" s="9" t="str">
        <f t="shared" si="1"/>
        <v>LEA-0224</v>
      </c>
      <c r="B225" s="20">
        <v>46014.0</v>
      </c>
      <c r="C225" s="16" t="s">
        <v>39</v>
      </c>
      <c r="D225" s="16" t="s">
        <v>62</v>
      </c>
      <c r="E225" s="17" t="s">
        <v>443</v>
      </c>
      <c r="F225" s="17">
        <v>7.760733608E9</v>
      </c>
      <c r="G225" s="17"/>
      <c r="H225" s="17"/>
      <c r="I225" s="17" t="s">
        <v>442</v>
      </c>
      <c r="J225" s="17" t="s">
        <v>77</v>
      </c>
      <c r="K225" s="16" t="s">
        <v>77</v>
      </c>
      <c r="L225" s="17">
        <v>4.0</v>
      </c>
      <c r="M225" s="32" t="s">
        <v>16</v>
      </c>
      <c r="N225" s="19">
        <v>15.0</v>
      </c>
      <c r="O225" s="17">
        <v>2400.0</v>
      </c>
      <c r="P225" s="16"/>
      <c r="Q225" s="18"/>
      <c r="R225" s="36" t="s">
        <v>15</v>
      </c>
      <c r="S225" s="14">
        <f t="shared" si="3"/>
        <v>46039</v>
      </c>
      <c r="T225" s="8"/>
      <c r="U225" s="8"/>
      <c r="V225" s="8"/>
      <c r="W225" s="8"/>
      <c r="X225" s="8"/>
      <c r="Y225" s="8"/>
      <c r="Z225" s="8"/>
    </row>
    <row r="226" ht="22.5" customHeight="1">
      <c r="A226" s="9" t="str">
        <f t="shared" si="1"/>
        <v>LEA-0225</v>
      </c>
      <c r="B226" s="20">
        <v>46014.0</v>
      </c>
      <c r="C226" s="16" t="s">
        <v>39</v>
      </c>
      <c r="D226" s="16" t="s">
        <v>62</v>
      </c>
      <c r="E226" s="17" t="s">
        <v>444</v>
      </c>
      <c r="F226" s="17">
        <v>9.686424826E9</v>
      </c>
      <c r="G226" s="17"/>
      <c r="H226" s="17"/>
      <c r="I226" s="17" t="s">
        <v>442</v>
      </c>
      <c r="J226" s="17" t="s">
        <v>77</v>
      </c>
      <c r="K226" s="16" t="s">
        <v>77</v>
      </c>
      <c r="L226" s="17">
        <v>2.5</v>
      </c>
      <c r="M226" s="32" t="s">
        <v>16</v>
      </c>
      <c r="N226" s="19">
        <v>10.0</v>
      </c>
      <c r="O226" s="17">
        <v>1500.0</v>
      </c>
      <c r="P226" s="16"/>
      <c r="Q226" s="18"/>
      <c r="R226" s="36" t="s">
        <v>15</v>
      </c>
      <c r="S226" s="14">
        <f t="shared" si="3"/>
        <v>46039</v>
      </c>
      <c r="T226" s="8"/>
      <c r="U226" s="8"/>
      <c r="V226" s="8"/>
      <c r="W226" s="8"/>
      <c r="X226" s="8"/>
      <c r="Y226" s="8"/>
      <c r="Z226" s="8"/>
    </row>
    <row r="227" ht="22.5" customHeight="1">
      <c r="A227" s="9" t="str">
        <f t="shared" si="1"/>
        <v>LEA-0226</v>
      </c>
      <c r="B227" s="20">
        <v>46015.0</v>
      </c>
      <c r="C227" s="16" t="s">
        <v>39</v>
      </c>
      <c r="D227" s="16" t="s">
        <v>62</v>
      </c>
      <c r="E227" s="17" t="s">
        <v>445</v>
      </c>
      <c r="F227" s="17">
        <v>7.892318843E9</v>
      </c>
      <c r="G227" s="17"/>
      <c r="H227" s="17"/>
      <c r="I227" s="17" t="s">
        <v>221</v>
      </c>
      <c r="J227" s="17" t="s">
        <v>77</v>
      </c>
      <c r="K227" s="16" t="s">
        <v>77</v>
      </c>
      <c r="L227" s="17">
        <v>1.0</v>
      </c>
      <c r="M227" s="55" t="s">
        <v>16</v>
      </c>
      <c r="N227" s="19">
        <v>6.0</v>
      </c>
      <c r="O227" s="17">
        <v>600.0</v>
      </c>
      <c r="P227" s="16"/>
      <c r="Q227" s="18"/>
      <c r="R227" s="56" t="s">
        <v>15</v>
      </c>
      <c r="S227" s="14">
        <f t="shared" si="3"/>
        <v>46039</v>
      </c>
      <c r="T227" s="8"/>
      <c r="U227" s="8"/>
      <c r="V227" s="8"/>
      <c r="W227" s="8"/>
      <c r="X227" s="8"/>
      <c r="Y227" s="8"/>
      <c r="Z227" s="8"/>
    </row>
    <row r="228" ht="22.5" customHeight="1">
      <c r="A228" s="9" t="str">
        <f t="shared" si="1"/>
        <v>LEA-0227</v>
      </c>
      <c r="B228" s="20">
        <v>46015.0</v>
      </c>
      <c r="C228" s="16" t="s">
        <v>39</v>
      </c>
      <c r="D228" s="16" t="s">
        <v>62</v>
      </c>
      <c r="E228" s="17" t="s">
        <v>197</v>
      </c>
      <c r="F228" s="17">
        <v>6.360957123E9</v>
      </c>
      <c r="G228" s="17"/>
      <c r="H228" s="17"/>
      <c r="I228" s="17" t="s">
        <v>221</v>
      </c>
      <c r="J228" s="17" t="s">
        <v>77</v>
      </c>
      <c r="K228" s="16" t="s">
        <v>77</v>
      </c>
      <c r="L228" s="17">
        <v>1.6</v>
      </c>
      <c r="M228" s="55" t="s">
        <v>16</v>
      </c>
      <c r="N228" s="19">
        <v>20.0</v>
      </c>
      <c r="O228" s="17">
        <v>1000.0</v>
      </c>
      <c r="P228" s="16"/>
      <c r="Q228" s="18"/>
      <c r="R228" s="56" t="s">
        <v>15</v>
      </c>
      <c r="S228" s="14">
        <f t="shared" si="3"/>
        <v>46039</v>
      </c>
      <c r="T228" s="8"/>
      <c r="U228" s="8"/>
      <c r="V228" s="8"/>
      <c r="W228" s="8"/>
      <c r="X228" s="8"/>
      <c r="Y228" s="8"/>
      <c r="Z228" s="8"/>
    </row>
    <row r="229" ht="22.5" customHeight="1">
      <c r="A229" s="9" t="str">
        <f t="shared" si="1"/>
        <v>LEA-0228</v>
      </c>
      <c r="B229" s="20">
        <v>46015.0</v>
      </c>
      <c r="C229" s="16" t="s">
        <v>39</v>
      </c>
      <c r="D229" s="16" t="s">
        <v>62</v>
      </c>
      <c r="E229" s="17" t="s">
        <v>446</v>
      </c>
      <c r="F229" s="17">
        <v>9.902190554E9</v>
      </c>
      <c r="G229" s="17"/>
      <c r="H229" s="17"/>
      <c r="I229" s="17" t="s">
        <v>221</v>
      </c>
      <c r="J229" s="17" t="s">
        <v>77</v>
      </c>
      <c r="K229" s="16" t="s">
        <v>77</v>
      </c>
      <c r="L229" s="17">
        <v>2.5</v>
      </c>
      <c r="M229" s="55" t="s">
        <v>16</v>
      </c>
      <c r="N229" s="19">
        <v>10.0</v>
      </c>
      <c r="O229" s="17">
        <v>1500.0</v>
      </c>
      <c r="P229" s="16"/>
      <c r="Q229" s="18"/>
      <c r="R229" s="56" t="s">
        <v>15</v>
      </c>
      <c r="S229" s="14">
        <f t="shared" si="3"/>
        <v>46039</v>
      </c>
      <c r="T229" s="8"/>
      <c r="U229" s="8"/>
      <c r="V229" s="8"/>
      <c r="W229" s="8"/>
      <c r="X229" s="8"/>
      <c r="Y229" s="8"/>
      <c r="Z229" s="8"/>
    </row>
    <row r="230" ht="22.5" customHeight="1">
      <c r="A230" s="9" t="str">
        <f t="shared" si="1"/>
        <v>LEA-0229</v>
      </c>
      <c r="B230" s="20">
        <v>46015.0</v>
      </c>
      <c r="C230" s="16" t="s">
        <v>39</v>
      </c>
      <c r="D230" s="16" t="s">
        <v>62</v>
      </c>
      <c r="E230" s="17" t="s">
        <v>447</v>
      </c>
      <c r="F230" s="17">
        <v>9.187076562E9</v>
      </c>
      <c r="G230" s="17"/>
      <c r="H230" s="17"/>
      <c r="I230" s="17" t="s">
        <v>221</v>
      </c>
      <c r="J230" s="17" t="s">
        <v>77</v>
      </c>
      <c r="K230" s="16" t="s">
        <v>77</v>
      </c>
      <c r="L230" s="17">
        <v>1.0</v>
      </c>
      <c r="M230" s="55" t="s">
        <v>16</v>
      </c>
      <c r="N230" s="19">
        <v>10.0</v>
      </c>
      <c r="O230" s="17">
        <v>600.0</v>
      </c>
      <c r="P230" s="16"/>
      <c r="Q230" s="18"/>
      <c r="R230" s="56" t="s">
        <v>15</v>
      </c>
      <c r="S230" s="14">
        <f t="shared" si="3"/>
        <v>46039</v>
      </c>
      <c r="T230" s="8"/>
      <c r="U230" s="8"/>
      <c r="V230" s="8"/>
      <c r="W230" s="8"/>
      <c r="X230" s="8"/>
      <c r="Y230" s="8"/>
      <c r="Z230" s="8"/>
    </row>
    <row r="231" ht="22.5" customHeight="1">
      <c r="A231" s="9" t="str">
        <f t="shared" si="1"/>
        <v>LEA-0230</v>
      </c>
      <c r="B231" s="20">
        <v>46015.0</v>
      </c>
      <c r="C231" s="16" t="s">
        <v>39</v>
      </c>
      <c r="D231" s="16" t="s">
        <v>62</v>
      </c>
      <c r="E231" s="17" t="s">
        <v>448</v>
      </c>
      <c r="F231" s="17">
        <v>9.740895899E9</v>
      </c>
      <c r="G231" s="17"/>
      <c r="H231" s="17"/>
      <c r="I231" s="17" t="s">
        <v>221</v>
      </c>
      <c r="J231" s="17" t="s">
        <v>77</v>
      </c>
      <c r="K231" s="16" t="s">
        <v>77</v>
      </c>
      <c r="L231" s="17">
        <v>7.0</v>
      </c>
      <c r="M231" s="55" t="s">
        <v>16</v>
      </c>
      <c r="N231" s="19">
        <v>17.0</v>
      </c>
      <c r="O231" s="17">
        <v>4500.0</v>
      </c>
      <c r="P231" s="16"/>
      <c r="Q231" s="18"/>
      <c r="R231" s="56" t="s">
        <v>15</v>
      </c>
      <c r="S231" s="14">
        <f t="shared" si="3"/>
        <v>46039</v>
      </c>
      <c r="T231" s="8"/>
      <c r="U231" s="8"/>
      <c r="V231" s="8"/>
      <c r="W231" s="8"/>
      <c r="X231" s="8"/>
      <c r="Y231" s="8"/>
      <c r="Z231" s="8"/>
    </row>
    <row r="232" ht="22.5" customHeight="1">
      <c r="A232" s="9" t="str">
        <f t="shared" si="1"/>
        <v>LEA-0231</v>
      </c>
      <c r="B232" s="20">
        <v>46015.0</v>
      </c>
      <c r="C232" s="16" t="s">
        <v>39</v>
      </c>
      <c r="D232" s="16" t="s">
        <v>62</v>
      </c>
      <c r="E232" s="17" t="s">
        <v>449</v>
      </c>
      <c r="F232" s="17">
        <v>9.741837243E9</v>
      </c>
      <c r="G232" s="17"/>
      <c r="H232" s="17"/>
      <c r="I232" s="17" t="s">
        <v>221</v>
      </c>
      <c r="J232" s="17" t="s">
        <v>77</v>
      </c>
      <c r="K232" s="16" t="s">
        <v>77</v>
      </c>
      <c r="L232" s="17">
        <v>1.0</v>
      </c>
      <c r="M232" s="55" t="s">
        <v>16</v>
      </c>
      <c r="N232" s="19">
        <v>24.0</v>
      </c>
      <c r="O232" s="17">
        <v>600.0</v>
      </c>
      <c r="P232" s="16"/>
      <c r="Q232" s="18"/>
      <c r="R232" s="56" t="s">
        <v>15</v>
      </c>
      <c r="S232" s="14">
        <f t="shared" si="3"/>
        <v>46039</v>
      </c>
      <c r="T232" s="8"/>
      <c r="U232" s="8"/>
      <c r="V232" s="8"/>
      <c r="W232" s="8"/>
      <c r="X232" s="8"/>
      <c r="Y232" s="8"/>
      <c r="Z232" s="8"/>
    </row>
    <row r="233" ht="22.5" customHeight="1">
      <c r="A233" s="9" t="str">
        <f t="shared" si="1"/>
        <v>LEA-0232</v>
      </c>
      <c r="B233" s="20">
        <v>46016.0</v>
      </c>
      <c r="C233" s="16" t="s">
        <v>39</v>
      </c>
      <c r="D233" s="16" t="s">
        <v>62</v>
      </c>
      <c r="E233" s="17" t="s">
        <v>450</v>
      </c>
      <c r="F233" s="17">
        <v>9.482256763E9</v>
      </c>
      <c r="G233" s="17">
        <v>8.277085392E9</v>
      </c>
      <c r="H233" s="17"/>
      <c r="I233" s="17" t="s">
        <v>451</v>
      </c>
      <c r="J233" s="17" t="s">
        <v>308</v>
      </c>
      <c r="K233" s="16" t="s">
        <v>77</v>
      </c>
      <c r="L233" s="17">
        <v>4.0</v>
      </c>
      <c r="M233" s="55" t="s">
        <v>16</v>
      </c>
      <c r="N233" s="19">
        <v>12.0</v>
      </c>
      <c r="O233" s="17">
        <v>3000.0</v>
      </c>
      <c r="P233" s="16"/>
      <c r="Q233" s="18"/>
      <c r="R233" s="56" t="s">
        <v>15</v>
      </c>
      <c r="S233" s="14">
        <f t="shared" si="3"/>
        <v>46039</v>
      </c>
      <c r="T233" s="8"/>
      <c r="U233" s="8"/>
      <c r="V233" s="8"/>
      <c r="W233" s="8"/>
      <c r="X233" s="8"/>
      <c r="Y233" s="8"/>
      <c r="Z233" s="8"/>
    </row>
    <row r="234" ht="22.5" customHeight="1">
      <c r="A234" s="9" t="str">
        <f t="shared" si="1"/>
        <v>LEA-0233</v>
      </c>
      <c r="B234" s="20">
        <v>46016.0</v>
      </c>
      <c r="C234" s="16" t="s">
        <v>39</v>
      </c>
      <c r="D234" s="16" t="s">
        <v>62</v>
      </c>
      <c r="E234" s="17" t="s">
        <v>452</v>
      </c>
      <c r="F234" s="17">
        <v>9.780394324E9</v>
      </c>
      <c r="G234" s="17"/>
      <c r="H234" s="17"/>
      <c r="I234" s="17" t="s">
        <v>453</v>
      </c>
      <c r="J234" s="17" t="s">
        <v>308</v>
      </c>
      <c r="K234" s="16" t="s">
        <v>77</v>
      </c>
      <c r="L234" s="17">
        <v>2.0</v>
      </c>
      <c r="M234" s="55" t="s">
        <v>16</v>
      </c>
      <c r="N234" s="19">
        <v>25.0</v>
      </c>
      <c r="O234" s="17">
        <v>1200.0</v>
      </c>
      <c r="P234" s="16"/>
      <c r="Q234" s="18"/>
      <c r="R234" s="56" t="s">
        <v>15</v>
      </c>
      <c r="S234" s="14">
        <f t="shared" si="3"/>
        <v>46039</v>
      </c>
      <c r="T234" s="8"/>
      <c r="U234" s="8"/>
      <c r="V234" s="8"/>
      <c r="W234" s="8"/>
      <c r="X234" s="8"/>
      <c r="Y234" s="8"/>
      <c r="Z234" s="8"/>
    </row>
    <row r="235" ht="22.5" customHeight="1">
      <c r="A235" s="9" t="str">
        <f t="shared" si="1"/>
        <v>LEA-0234</v>
      </c>
      <c r="B235" s="20">
        <v>46016.0</v>
      </c>
      <c r="C235" s="16" t="s">
        <v>39</v>
      </c>
      <c r="D235" s="16" t="s">
        <v>62</v>
      </c>
      <c r="E235" s="17" t="s">
        <v>374</v>
      </c>
      <c r="F235" s="17">
        <v>9.739439179E9</v>
      </c>
      <c r="G235" s="17"/>
      <c r="H235" s="17"/>
      <c r="I235" s="17" t="s">
        <v>454</v>
      </c>
      <c r="J235" s="17" t="s">
        <v>77</v>
      </c>
      <c r="K235" s="16" t="s">
        <v>77</v>
      </c>
      <c r="L235" s="17">
        <v>1.5</v>
      </c>
      <c r="M235" s="55" t="s">
        <v>16</v>
      </c>
      <c r="N235" s="19">
        <v>32.0</v>
      </c>
      <c r="O235" s="17">
        <v>1000.0</v>
      </c>
      <c r="P235" s="16"/>
      <c r="Q235" s="18"/>
      <c r="R235" s="56" t="s">
        <v>15</v>
      </c>
      <c r="S235" s="14">
        <f t="shared" si="3"/>
        <v>46039</v>
      </c>
      <c r="T235" s="8"/>
      <c r="U235" s="8"/>
      <c r="V235" s="8"/>
      <c r="W235" s="8"/>
      <c r="X235" s="8"/>
      <c r="Y235" s="8"/>
      <c r="Z235" s="8"/>
    </row>
    <row r="236" ht="22.5" customHeight="1">
      <c r="A236" s="9" t="str">
        <f t="shared" si="1"/>
        <v>LEA-0235</v>
      </c>
      <c r="B236" s="20">
        <v>46016.0</v>
      </c>
      <c r="C236" s="16" t="s">
        <v>39</v>
      </c>
      <c r="D236" s="16" t="s">
        <v>62</v>
      </c>
      <c r="E236" s="17" t="s">
        <v>218</v>
      </c>
      <c r="F236" s="17">
        <v>9.036335727E9</v>
      </c>
      <c r="G236" s="17"/>
      <c r="H236" s="17"/>
      <c r="I236" s="17" t="s">
        <v>455</v>
      </c>
      <c r="J236" s="17" t="s">
        <v>454</v>
      </c>
      <c r="K236" s="16" t="s">
        <v>77</v>
      </c>
      <c r="L236" s="17">
        <v>2.0</v>
      </c>
      <c r="M236" s="55" t="s">
        <v>16</v>
      </c>
      <c r="N236" s="19">
        <v>4.0</v>
      </c>
      <c r="O236" s="17">
        <v>1200.0</v>
      </c>
      <c r="P236" s="16"/>
      <c r="Q236" s="18"/>
      <c r="R236" s="56" t="s">
        <v>15</v>
      </c>
      <c r="S236" s="14">
        <f t="shared" si="3"/>
        <v>46039</v>
      </c>
      <c r="T236" s="8"/>
      <c r="U236" s="8"/>
      <c r="V236" s="8"/>
      <c r="W236" s="8"/>
      <c r="X236" s="8"/>
      <c r="Y236" s="8"/>
      <c r="Z236" s="8"/>
    </row>
    <row r="237" ht="22.5" customHeight="1">
      <c r="A237" s="9" t="str">
        <f t="shared" si="1"/>
        <v>LEA-0236</v>
      </c>
      <c r="B237" s="20">
        <v>46016.0</v>
      </c>
      <c r="C237" s="16" t="s">
        <v>39</v>
      </c>
      <c r="D237" s="16" t="s">
        <v>62</v>
      </c>
      <c r="E237" s="17" t="s">
        <v>297</v>
      </c>
      <c r="F237" s="17">
        <v>8.611301525E9</v>
      </c>
      <c r="G237" s="17"/>
      <c r="H237" s="17"/>
      <c r="I237" s="17" t="s">
        <v>456</v>
      </c>
      <c r="J237" s="17" t="s">
        <v>308</v>
      </c>
      <c r="K237" s="16" t="s">
        <v>77</v>
      </c>
      <c r="L237" s="17">
        <v>1.0</v>
      </c>
      <c r="M237" s="55" t="s">
        <v>16</v>
      </c>
      <c r="N237" s="19">
        <v>16.0</v>
      </c>
      <c r="O237" s="17">
        <v>600.0</v>
      </c>
      <c r="P237" s="16"/>
      <c r="Q237" s="18"/>
      <c r="R237" s="56" t="s">
        <v>15</v>
      </c>
      <c r="S237" s="14">
        <f t="shared" si="3"/>
        <v>46039</v>
      </c>
      <c r="T237" s="8"/>
      <c r="U237" s="8"/>
      <c r="V237" s="8"/>
      <c r="W237" s="8"/>
      <c r="X237" s="8"/>
      <c r="Y237" s="8"/>
      <c r="Z237" s="8"/>
    </row>
    <row r="238" ht="22.5" customHeight="1">
      <c r="A238" s="9" t="str">
        <f t="shared" si="1"/>
        <v>LEA-0237</v>
      </c>
      <c r="B238" s="20">
        <v>46016.0</v>
      </c>
      <c r="C238" s="16" t="s">
        <v>39</v>
      </c>
      <c r="D238" s="16" t="s">
        <v>62</v>
      </c>
      <c r="E238" s="17" t="s">
        <v>457</v>
      </c>
      <c r="F238" s="17">
        <v>9.482064837E9</v>
      </c>
      <c r="G238" s="17"/>
      <c r="H238" s="17"/>
      <c r="I238" s="17" t="s">
        <v>456</v>
      </c>
      <c r="J238" s="17" t="s">
        <v>308</v>
      </c>
      <c r="K238" s="16" t="s">
        <v>77</v>
      </c>
      <c r="L238" s="17">
        <v>1.0</v>
      </c>
      <c r="M238" s="55" t="s">
        <v>16</v>
      </c>
      <c r="N238" s="19">
        <v>18.0</v>
      </c>
      <c r="O238" s="17">
        <v>600.0</v>
      </c>
      <c r="P238" s="16"/>
      <c r="Q238" s="18"/>
      <c r="R238" s="56" t="s">
        <v>15</v>
      </c>
      <c r="S238" s="14">
        <f t="shared" si="3"/>
        <v>46039</v>
      </c>
      <c r="T238" s="8"/>
      <c r="U238" s="8"/>
      <c r="V238" s="8"/>
      <c r="W238" s="8"/>
      <c r="X238" s="8"/>
      <c r="Y238" s="8"/>
      <c r="Z238" s="8"/>
    </row>
    <row r="239" ht="22.5" customHeight="1">
      <c r="A239" s="9" t="str">
        <f t="shared" si="1"/>
        <v>LEA-0238</v>
      </c>
      <c r="B239" s="20">
        <v>46016.0</v>
      </c>
      <c r="C239" s="16" t="s">
        <v>39</v>
      </c>
      <c r="D239" s="16" t="s">
        <v>62</v>
      </c>
      <c r="E239" s="17" t="s">
        <v>458</v>
      </c>
      <c r="F239" s="17">
        <v>9.900333045E9</v>
      </c>
      <c r="G239" s="17"/>
      <c r="H239" s="17"/>
      <c r="I239" s="17" t="s">
        <v>456</v>
      </c>
      <c r="J239" s="17" t="s">
        <v>308</v>
      </c>
      <c r="K239" s="16" t="s">
        <v>77</v>
      </c>
      <c r="L239" s="17">
        <v>1.6</v>
      </c>
      <c r="M239" s="55" t="s">
        <v>16</v>
      </c>
      <c r="N239" s="19">
        <v>35.0</v>
      </c>
      <c r="O239" s="17">
        <v>1000.0</v>
      </c>
      <c r="P239" s="16"/>
      <c r="Q239" s="18"/>
      <c r="R239" s="56" t="s">
        <v>15</v>
      </c>
      <c r="S239" s="14">
        <f t="shared" si="3"/>
        <v>46039</v>
      </c>
      <c r="T239" s="8"/>
      <c r="U239" s="8"/>
      <c r="V239" s="8"/>
      <c r="W239" s="8"/>
      <c r="X239" s="8"/>
      <c r="Y239" s="8"/>
      <c r="Z239" s="8"/>
    </row>
    <row r="240" ht="22.5" customHeight="1">
      <c r="A240" s="9" t="str">
        <f t="shared" si="1"/>
        <v>LEA-0239</v>
      </c>
      <c r="B240" s="20">
        <v>46017.0</v>
      </c>
      <c r="C240" s="16" t="s">
        <v>63</v>
      </c>
      <c r="D240" s="16" t="s">
        <v>26</v>
      </c>
      <c r="E240" s="17" t="s">
        <v>459</v>
      </c>
      <c r="F240" s="17">
        <v>9.945838179E9</v>
      </c>
      <c r="G240" s="17"/>
      <c r="H240" s="17"/>
      <c r="I240" s="17" t="s">
        <v>460</v>
      </c>
      <c r="J240" s="17" t="s">
        <v>461</v>
      </c>
      <c r="K240" s="16" t="s">
        <v>73</v>
      </c>
      <c r="L240" s="17">
        <v>6.0</v>
      </c>
      <c r="M240" s="55" t="s">
        <v>16</v>
      </c>
      <c r="N240" s="19">
        <v>25.0</v>
      </c>
      <c r="O240" s="17">
        <v>3600.0</v>
      </c>
      <c r="P240" s="16"/>
      <c r="Q240" s="18"/>
      <c r="R240" s="56" t="s">
        <v>15</v>
      </c>
      <c r="S240" s="14">
        <f t="shared" si="3"/>
        <v>46039</v>
      </c>
      <c r="T240" s="8"/>
      <c r="U240" s="8"/>
      <c r="V240" s="8"/>
      <c r="W240" s="8"/>
      <c r="X240" s="8"/>
      <c r="Y240" s="8"/>
      <c r="Z240" s="8"/>
    </row>
    <row r="241" ht="22.5" customHeight="1">
      <c r="A241" s="9" t="str">
        <f t="shared" si="1"/>
        <v>LEA-0240</v>
      </c>
      <c r="B241" s="20">
        <v>46017.0</v>
      </c>
      <c r="C241" s="16" t="s">
        <v>63</v>
      </c>
      <c r="D241" s="16" t="s">
        <v>26</v>
      </c>
      <c r="E241" s="17" t="s">
        <v>257</v>
      </c>
      <c r="F241" s="17">
        <v>9.606416152E9</v>
      </c>
      <c r="G241" s="17"/>
      <c r="H241" s="17"/>
      <c r="I241" s="17" t="s">
        <v>462</v>
      </c>
      <c r="J241" s="17" t="s">
        <v>461</v>
      </c>
      <c r="K241" s="16" t="s">
        <v>73</v>
      </c>
      <c r="L241" s="17">
        <v>1.5</v>
      </c>
      <c r="M241" s="55" t="s">
        <v>16</v>
      </c>
      <c r="N241" s="19">
        <v>4.0</v>
      </c>
      <c r="O241" s="17">
        <v>900.0</v>
      </c>
      <c r="P241" s="16"/>
      <c r="Q241" s="18"/>
      <c r="R241" s="56" t="s">
        <v>15</v>
      </c>
      <c r="S241" s="14">
        <f t="shared" si="3"/>
        <v>46039</v>
      </c>
      <c r="T241" s="8"/>
      <c r="U241" s="8"/>
      <c r="V241" s="8"/>
      <c r="W241" s="8"/>
      <c r="X241" s="8"/>
      <c r="Y241" s="8"/>
      <c r="Z241" s="8"/>
    </row>
    <row r="242" ht="22.5" customHeight="1">
      <c r="A242" s="9" t="str">
        <f t="shared" si="1"/>
        <v>LEA-0241</v>
      </c>
      <c r="B242" s="20">
        <v>46017.0</v>
      </c>
      <c r="C242" s="16" t="s">
        <v>63</v>
      </c>
      <c r="D242" s="16" t="s">
        <v>26</v>
      </c>
      <c r="E242" s="17" t="s">
        <v>463</v>
      </c>
      <c r="F242" s="17">
        <v>8.722810752E9</v>
      </c>
      <c r="G242" s="17"/>
      <c r="H242" s="17"/>
      <c r="I242" s="17" t="s">
        <v>464</v>
      </c>
      <c r="J242" s="17" t="s">
        <v>461</v>
      </c>
      <c r="K242" s="16" t="s">
        <v>73</v>
      </c>
      <c r="L242" s="17">
        <v>1.5</v>
      </c>
      <c r="M242" s="55" t="s">
        <v>16</v>
      </c>
      <c r="N242" s="19"/>
      <c r="O242" s="17">
        <v>900.0</v>
      </c>
      <c r="P242" s="16"/>
      <c r="Q242" s="18"/>
      <c r="R242" s="56" t="s">
        <v>15</v>
      </c>
      <c r="S242" s="14">
        <f t="shared" si="3"/>
        <v>46039</v>
      </c>
      <c r="T242" s="8"/>
      <c r="U242" s="8"/>
      <c r="V242" s="8"/>
      <c r="W242" s="8"/>
      <c r="X242" s="8"/>
      <c r="Y242" s="8"/>
      <c r="Z242" s="8"/>
    </row>
    <row r="243" ht="22.5" customHeight="1">
      <c r="A243" s="9" t="str">
        <f t="shared" si="1"/>
        <v>LEA-0242</v>
      </c>
      <c r="B243" s="20">
        <v>46017.0</v>
      </c>
      <c r="C243" s="16" t="s">
        <v>63</v>
      </c>
      <c r="D243" s="16" t="s">
        <v>26</v>
      </c>
      <c r="E243" s="17" t="s">
        <v>185</v>
      </c>
      <c r="F243" s="17">
        <v>9.663295127E9</v>
      </c>
      <c r="G243" s="17"/>
      <c r="H243" s="17"/>
      <c r="I243" s="17" t="s">
        <v>465</v>
      </c>
      <c r="J243" s="17" t="s">
        <v>142</v>
      </c>
      <c r="K243" s="16" t="s">
        <v>73</v>
      </c>
      <c r="L243" s="17">
        <v>3.0</v>
      </c>
      <c r="M243" s="55" t="s">
        <v>16</v>
      </c>
      <c r="N243" s="19"/>
      <c r="O243" s="17">
        <v>1800.0</v>
      </c>
      <c r="P243" s="16"/>
      <c r="Q243" s="18"/>
      <c r="R243" s="56" t="s">
        <v>15</v>
      </c>
      <c r="S243" s="14">
        <f t="shared" si="3"/>
        <v>46039</v>
      </c>
      <c r="T243" s="8"/>
      <c r="U243" s="8"/>
      <c r="V243" s="8"/>
      <c r="W243" s="8"/>
      <c r="X243" s="8"/>
      <c r="Y243" s="8"/>
      <c r="Z243" s="8"/>
    </row>
    <row r="244" ht="22.5" customHeight="1">
      <c r="A244" s="9" t="str">
        <f t="shared" si="1"/>
        <v>LEA-0243</v>
      </c>
      <c r="B244" s="20">
        <v>46017.0</v>
      </c>
      <c r="C244" s="16" t="s">
        <v>63</v>
      </c>
      <c r="D244" s="16" t="s">
        <v>26</v>
      </c>
      <c r="E244" s="17" t="s">
        <v>466</v>
      </c>
      <c r="F244" s="17">
        <v>9.980835659E9</v>
      </c>
      <c r="G244" s="17"/>
      <c r="H244" s="17"/>
      <c r="I244" s="17" t="s">
        <v>467</v>
      </c>
      <c r="J244" s="17" t="s">
        <v>142</v>
      </c>
      <c r="K244" s="16" t="s">
        <v>73</v>
      </c>
      <c r="L244" s="17">
        <v>8.0</v>
      </c>
      <c r="M244" s="55" t="s">
        <v>16</v>
      </c>
      <c r="N244" s="19">
        <v>9.0</v>
      </c>
      <c r="O244" s="17">
        <v>4800.0</v>
      </c>
      <c r="P244" s="16"/>
      <c r="Q244" s="18"/>
      <c r="R244" s="56" t="s">
        <v>15</v>
      </c>
      <c r="S244" s="14">
        <f t="shared" si="3"/>
        <v>46039</v>
      </c>
      <c r="T244" s="8"/>
      <c r="U244" s="8"/>
      <c r="V244" s="8"/>
      <c r="W244" s="8"/>
      <c r="X244" s="8"/>
      <c r="Y244" s="8"/>
      <c r="Z244" s="8"/>
    </row>
    <row r="245" ht="22.5" customHeight="1">
      <c r="A245" s="9" t="str">
        <f t="shared" si="1"/>
        <v>LEA-0244</v>
      </c>
      <c r="B245" s="57">
        <v>46017.0</v>
      </c>
      <c r="C245" s="16" t="s">
        <v>63</v>
      </c>
      <c r="D245" s="16" t="s">
        <v>26</v>
      </c>
      <c r="E245" s="58" t="s">
        <v>468</v>
      </c>
      <c r="F245" s="59">
        <v>9.611394332E9</v>
      </c>
      <c r="G245" s="60"/>
      <c r="H245" s="60"/>
      <c r="I245" s="59" t="s">
        <v>469</v>
      </c>
      <c r="J245" s="17" t="s">
        <v>142</v>
      </c>
      <c r="K245" s="16" t="s">
        <v>73</v>
      </c>
      <c r="L245" s="59">
        <v>2.5</v>
      </c>
      <c r="M245" s="55" t="s">
        <v>16</v>
      </c>
      <c r="N245" s="61"/>
      <c r="O245" s="59">
        <v>1500.0</v>
      </c>
      <c r="P245" s="62"/>
      <c r="Q245" s="63"/>
      <c r="R245" s="64" t="s">
        <v>15</v>
      </c>
      <c r="S245" s="14">
        <f t="shared" si="3"/>
        <v>46039</v>
      </c>
      <c r="T245" s="8"/>
      <c r="U245" s="8"/>
      <c r="V245" s="8"/>
      <c r="W245" s="8"/>
      <c r="X245" s="8"/>
      <c r="Y245" s="8"/>
      <c r="Z245" s="8"/>
    </row>
    <row r="246" ht="22.5" customHeight="1">
      <c r="A246" s="9" t="str">
        <f t="shared" si="1"/>
        <v>LEA-0245</v>
      </c>
      <c r="B246" s="57">
        <v>46017.0</v>
      </c>
      <c r="C246" s="16" t="s">
        <v>63</v>
      </c>
      <c r="D246" s="16" t="s">
        <v>26</v>
      </c>
      <c r="E246" s="58" t="s">
        <v>470</v>
      </c>
      <c r="F246" s="58">
        <v>6.362674744E9</v>
      </c>
      <c r="G246" s="30"/>
      <c r="H246" s="30"/>
      <c r="I246" s="59" t="s">
        <v>471</v>
      </c>
      <c r="J246" s="59" t="s">
        <v>472</v>
      </c>
      <c r="K246" s="16" t="s">
        <v>73</v>
      </c>
      <c r="L246" s="59">
        <v>3.0</v>
      </c>
      <c r="M246" s="55" t="s">
        <v>16</v>
      </c>
      <c r="N246" s="61"/>
      <c r="O246" s="65">
        <v>1800.0</v>
      </c>
      <c r="P246" s="62"/>
      <c r="Q246" s="63"/>
      <c r="R246" s="64" t="s">
        <v>15</v>
      </c>
      <c r="S246" s="66"/>
      <c r="T246" s="67"/>
      <c r="U246" s="8"/>
      <c r="V246" s="8"/>
      <c r="W246" s="8"/>
      <c r="X246" s="8"/>
      <c r="Y246" s="8"/>
      <c r="Z246" s="8"/>
    </row>
    <row r="247" ht="22.5" customHeight="1">
      <c r="A247" s="9" t="str">
        <f t="shared" si="1"/>
        <v>LEA-0246</v>
      </c>
      <c r="B247" s="57">
        <v>46017.0</v>
      </c>
      <c r="C247" s="16" t="s">
        <v>63</v>
      </c>
      <c r="D247" s="16" t="s">
        <v>26</v>
      </c>
      <c r="E247" s="68" t="s">
        <v>473</v>
      </c>
      <c r="F247" s="68">
        <v>6.361208336E9</v>
      </c>
      <c r="G247" s="43"/>
      <c r="H247" s="43"/>
      <c r="I247" s="69" t="s">
        <v>474</v>
      </c>
      <c r="J247" s="69" t="s">
        <v>142</v>
      </c>
      <c r="K247" s="16" t="s">
        <v>73</v>
      </c>
      <c r="L247" s="69">
        <v>2.0</v>
      </c>
      <c r="M247" s="55" t="s">
        <v>16</v>
      </c>
      <c r="N247" s="70">
        <v>13.0</v>
      </c>
      <c r="O247" s="71">
        <v>1200.0</v>
      </c>
      <c r="P247" s="72"/>
      <c r="Q247" s="73"/>
      <c r="R247" s="64" t="s">
        <v>15</v>
      </c>
      <c r="S247" s="74"/>
      <c r="T247" s="75"/>
      <c r="U247" s="8"/>
      <c r="V247" s="8"/>
      <c r="W247" s="8"/>
      <c r="X247" s="8"/>
      <c r="Y247" s="8"/>
      <c r="Z247" s="8"/>
    </row>
    <row r="248" ht="22.5" customHeight="1">
      <c r="A248" s="9" t="str">
        <f t="shared" si="1"/>
        <v>LEA-0247</v>
      </c>
      <c r="B248" s="76">
        <v>46017.0</v>
      </c>
      <c r="C248" s="16" t="s">
        <v>63</v>
      </c>
      <c r="D248" s="16" t="s">
        <v>26</v>
      </c>
      <c r="E248" s="77" t="s">
        <v>332</v>
      </c>
      <c r="F248" s="77">
        <v>9.380444281E9</v>
      </c>
      <c r="G248" s="78"/>
      <c r="H248" s="42"/>
      <c r="I248" s="79" t="s">
        <v>475</v>
      </c>
      <c r="J248" s="69" t="s">
        <v>476</v>
      </c>
      <c r="K248" s="80" t="s">
        <v>79</v>
      </c>
      <c r="L248" s="79">
        <v>2.0</v>
      </c>
      <c r="M248" s="55" t="s">
        <v>16</v>
      </c>
      <c r="N248" s="81">
        <v>9.0</v>
      </c>
      <c r="O248" s="71">
        <v>1200.0</v>
      </c>
      <c r="P248" s="62"/>
      <c r="Q248" s="63"/>
      <c r="R248" s="82" t="s">
        <v>15</v>
      </c>
      <c r="S248" s="66"/>
      <c r="T248" s="67"/>
      <c r="U248" s="8"/>
      <c r="V248" s="8"/>
      <c r="W248" s="8"/>
      <c r="X248" s="8"/>
      <c r="Y248" s="8"/>
      <c r="Z248" s="8"/>
    </row>
    <row r="249" ht="22.5" customHeight="1">
      <c r="A249" s="9" t="str">
        <f t="shared" si="1"/>
        <v>LEA-0248</v>
      </c>
      <c r="B249" s="83">
        <v>46017.0</v>
      </c>
      <c r="C249" s="16" t="s">
        <v>63</v>
      </c>
      <c r="D249" s="16" t="s">
        <v>26</v>
      </c>
      <c r="E249" s="84" t="s">
        <v>477</v>
      </c>
      <c r="F249" s="84">
        <v>9.591172619E9</v>
      </c>
      <c r="G249" s="85"/>
      <c r="H249" s="29"/>
      <c r="I249" s="86" t="s">
        <v>475</v>
      </c>
      <c r="J249" s="69" t="s">
        <v>476</v>
      </c>
      <c r="K249" s="80" t="s">
        <v>79</v>
      </c>
      <c r="L249" s="87">
        <v>1.0</v>
      </c>
      <c r="M249" s="55" t="s">
        <v>16</v>
      </c>
      <c r="N249" s="88"/>
      <c r="O249" s="89">
        <v>600.0</v>
      </c>
      <c r="P249" s="34"/>
      <c r="Q249" s="35"/>
      <c r="R249" s="82" t="s">
        <v>15</v>
      </c>
      <c r="S249" s="90"/>
      <c r="T249" s="91"/>
      <c r="U249" s="8"/>
      <c r="V249" s="8"/>
      <c r="W249" s="8"/>
      <c r="X249" s="8"/>
      <c r="Y249" s="8"/>
      <c r="Z249" s="8"/>
    </row>
    <row r="250" ht="22.5" customHeight="1">
      <c r="A250" s="9" t="str">
        <f t="shared" si="1"/>
        <v>LEA-0249</v>
      </c>
      <c r="B250" s="92">
        <v>46017.0</v>
      </c>
      <c r="C250" s="16" t="s">
        <v>63</v>
      </c>
      <c r="D250" s="16" t="s">
        <v>26</v>
      </c>
      <c r="E250" s="93" t="s">
        <v>478</v>
      </c>
      <c r="F250" s="93">
        <v>9.611224438E9</v>
      </c>
      <c r="G250" s="78"/>
      <c r="H250" s="94"/>
      <c r="I250" s="61" t="s">
        <v>298</v>
      </c>
      <c r="J250" s="69" t="s">
        <v>230</v>
      </c>
      <c r="K250" s="80" t="s">
        <v>79</v>
      </c>
      <c r="L250" s="61">
        <v>8.0</v>
      </c>
      <c r="M250" s="55" t="s">
        <v>16</v>
      </c>
      <c r="N250" s="61">
        <v>5.0</v>
      </c>
      <c r="O250" s="95">
        <v>4800.0</v>
      </c>
      <c r="P250" s="96"/>
      <c r="Q250" s="63"/>
      <c r="R250" s="82" t="s">
        <v>15</v>
      </c>
      <c r="S250" s="90"/>
      <c r="T250" s="97"/>
      <c r="U250" s="8"/>
      <c r="V250" s="8"/>
      <c r="W250" s="8"/>
      <c r="X250" s="8"/>
      <c r="Y250" s="8"/>
      <c r="Z250" s="8"/>
    </row>
    <row r="251" ht="22.5" customHeight="1">
      <c r="A251" s="9" t="str">
        <f t="shared" si="1"/>
        <v>LEA-0250</v>
      </c>
      <c r="B251" s="83">
        <v>46017.0</v>
      </c>
      <c r="C251" s="16" t="s">
        <v>63</v>
      </c>
      <c r="D251" s="16" t="s">
        <v>26</v>
      </c>
      <c r="E251" s="84" t="s">
        <v>479</v>
      </c>
      <c r="F251" s="84">
        <v>9.945139047E9</v>
      </c>
      <c r="G251" s="85"/>
      <c r="H251" s="29"/>
      <c r="I251" s="87" t="s">
        <v>480</v>
      </c>
      <c r="J251" s="69" t="s">
        <v>230</v>
      </c>
      <c r="K251" s="80" t="s">
        <v>79</v>
      </c>
      <c r="L251" s="87">
        <v>9.0</v>
      </c>
      <c r="M251" s="55" t="s">
        <v>16</v>
      </c>
      <c r="N251" s="98">
        <v>40.0</v>
      </c>
      <c r="O251" s="89">
        <v>5400.0</v>
      </c>
      <c r="P251" s="72"/>
      <c r="Q251" s="73"/>
      <c r="R251" s="82" t="s">
        <v>15</v>
      </c>
      <c r="S251" s="74"/>
      <c r="T251" s="75"/>
      <c r="U251" s="8"/>
      <c r="V251" s="8"/>
      <c r="W251" s="8"/>
      <c r="X251" s="8"/>
      <c r="Y251" s="8"/>
      <c r="Z251" s="8"/>
    </row>
    <row r="252" ht="22.5" customHeight="1">
      <c r="A252" s="9" t="str">
        <f t="shared" si="1"/>
        <v>LEA-0251</v>
      </c>
      <c r="B252" s="76">
        <v>46017.0</v>
      </c>
      <c r="C252" s="16" t="s">
        <v>63</v>
      </c>
      <c r="D252" s="16" t="s">
        <v>26</v>
      </c>
      <c r="E252" s="77" t="s">
        <v>193</v>
      </c>
      <c r="F252" s="77">
        <v>8.431180046E9</v>
      </c>
      <c r="G252" s="78"/>
      <c r="H252" s="42"/>
      <c r="I252" s="79" t="s">
        <v>481</v>
      </c>
      <c r="J252" s="69" t="s">
        <v>230</v>
      </c>
      <c r="K252" s="80" t="s">
        <v>79</v>
      </c>
      <c r="L252" s="79">
        <v>6.0</v>
      </c>
      <c r="M252" s="55" t="s">
        <v>16</v>
      </c>
      <c r="N252" s="81">
        <v>10.0</v>
      </c>
      <c r="O252" s="80">
        <v>3600.0</v>
      </c>
      <c r="P252" s="47"/>
      <c r="Q252" s="48"/>
      <c r="R252" s="82" t="s">
        <v>15</v>
      </c>
      <c r="S252" s="99"/>
      <c r="T252" s="100"/>
      <c r="U252" s="8"/>
      <c r="V252" s="8"/>
      <c r="W252" s="8"/>
      <c r="X252" s="8"/>
      <c r="Y252" s="8"/>
      <c r="Z252" s="8"/>
    </row>
    <row r="253" ht="22.5" customHeight="1">
      <c r="A253" s="9" t="str">
        <f t="shared" si="1"/>
        <v>LEA-0252</v>
      </c>
      <c r="B253" s="101">
        <v>46017.0</v>
      </c>
      <c r="C253" s="16" t="s">
        <v>63</v>
      </c>
      <c r="D253" s="16" t="s">
        <v>26</v>
      </c>
      <c r="E253" s="102" t="s">
        <v>193</v>
      </c>
      <c r="F253" s="102">
        <v>9.880241597E9</v>
      </c>
      <c r="G253" s="42"/>
      <c r="H253" s="103"/>
      <c r="I253" s="86" t="s">
        <v>482</v>
      </c>
      <c r="J253" s="69" t="s">
        <v>130</v>
      </c>
      <c r="K253" s="104" t="s">
        <v>77</v>
      </c>
      <c r="L253" s="86">
        <v>16.0</v>
      </c>
      <c r="M253" s="55" t="s">
        <v>16</v>
      </c>
      <c r="N253" s="86">
        <v>18.0</v>
      </c>
      <c r="O253" s="104">
        <v>9600.0</v>
      </c>
      <c r="P253" s="34"/>
      <c r="Q253" s="35"/>
      <c r="R253" s="82" t="s">
        <v>15</v>
      </c>
      <c r="S253" s="90"/>
      <c r="T253" s="91"/>
      <c r="U253" s="8"/>
      <c r="V253" s="8"/>
      <c r="W253" s="8"/>
      <c r="X253" s="8"/>
      <c r="Y253" s="8"/>
      <c r="Z253" s="8"/>
    </row>
    <row r="254" ht="22.5" customHeight="1">
      <c r="A254" s="9" t="str">
        <f t="shared" si="1"/>
        <v>LEA-0253</v>
      </c>
      <c r="B254" s="92">
        <v>46017.0</v>
      </c>
      <c r="C254" s="16" t="s">
        <v>63</v>
      </c>
      <c r="D254" s="16" t="s">
        <v>26</v>
      </c>
      <c r="E254" s="93" t="s">
        <v>203</v>
      </c>
      <c r="F254" s="93">
        <v>9.148357968E9</v>
      </c>
      <c r="G254" s="103"/>
      <c r="H254" s="94"/>
      <c r="I254" s="61" t="s">
        <v>483</v>
      </c>
      <c r="J254" s="69" t="s">
        <v>130</v>
      </c>
      <c r="K254" s="104" t="s">
        <v>77</v>
      </c>
      <c r="L254" s="94">
        <v>5.0</v>
      </c>
      <c r="M254" s="55" t="s">
        <v>16</v>
      </c>
      <c r="N254" s="105"/>
      <c r="O254" s="95">
        <v>3000.0</v>
      </c>
      <c r="P254" s="62"/>
      <c r="Q254" s="63"/>
      <c r="R254" s="82" t="s">
        <v>15</v>
      </c>
      <c r="S254" s="90"/>
      <c r="T254" s="67"/>
      <c r="U254" s="8"/>
      <c r="V254" s="8"/>
      <c r="W254" s="8"/>
      <c r="X254" s="8"/>
      <c r="Y254" s="8"/>
      <c r="Z254" s="8"/>
    </row>
    <row r="255" ht="22.5" customHeight="1">
      <c r="A255" s="9" t="str">
        <f t="shared" si="1"/>
        <v>LEA-0254</v>
      </c>
      <c r="B255" s="83">
        <v>46017.0</v>
      </c>
      <c r="C255" s="16" t="s">
        <v>63</v>
      </c>
      <c r="D255" s="16" t="s">
        <v>26</v>
      </c>
      <c r="E255" s="84" t="s">
        <v>484</v>
      </c>
      <c r="F255" s="84">
        <v>9.900407085E9</v>
      </c>
      <c r="G255" s="42"/>
      <c r="H255" s="29"/>
      <c r="I255" s="87" t="s">
        <v>194</v>
      </c>
      <c r="J255" s="69" t="s">
        <v>130</v>
      </c>
      <c r="K255" s="104" t="s">
        <v>77</v>
      </c>
      <c r="L255" s="29">
        <v>1.0</v>
      </c>
      <c r="M255" s="55" t="s">
        <v>16</v>
      </c>
      <c r="N255" s="106"/>
      <c r="O255" s="89">
        <v>600.0</v>
      </c>
      <c r="P255" s="107"/>
      <c r="Q255" s="73"/>
      <c r="R255" s="82" t="s">
        <v>15</v>
      </c>
      <c r="S255" s="74"/>
      <c r="T255" s="75"/>
      <c r="U255" s="8"/>
      <c r="V255" s="8"/>
      <c r="W255" s="8"/>
      <c r="X255" s="8"/>
      <c r="Y255" s="8"/>
      <c r="Z255" s="8"/>
    </row>
    <row r="256" ht="22.5" customHeight="1">
      <c r="A256" s="9" t="str">
        <f t="shared" si="1"/>
        <v>LEA-0255</v>
      </c>
      <c r="B256" s="76">
        <v>46017.0</v>
      </c>
      <c r="C256" s="16" t="s">
        <v>63</v>
      </c>
      <c r="D256" s="16" t="s">
        <v>26</v>
      </c>
      <c r="E256" s="77" t="s">
        <v>361</v>
      </c>
      <c r="F256" s="77">
        <v>9.008032122E9</v>
      </c>
      <c r="G256" s="103"/>
      <c r="H256" s="42"/>
      <c r="I256" s="79" t="s">
        <v>485</v>
      </c>
      <c r="J256" s="69" t="s">
        <v>130</v>
      </c>
      <c r="K256" s="104" t="s">
        <v>77</v>
      </c>
      <c r="L256" s="42">
        <v>3.0</v>
      </c>
      <c r="M256" s="55" t="s">
        <v>16</v>
      </c>
      <c r="N256" s="105"/>
      <c r="O256" s="80">
        <v>1800.0</v>
      </c>
      <c r="P256" s="96"/>
      <c r="Q256" s="63"/>
      <c r="R256" s="82" t="s">
        <v>15</v>
      </c>
      <c r="S256" s="66"/>
      <c r="T256" s="67"/>
      <c r="U256" s="8"/>
      <c r="V256" s="8"/>
      <c r="W256" s="8"/>
      <c r="X256" s="8"/>
      <c r="Y256" s="8"/>
      <c r="Z256" s="8"/>
    </row>
    <row r="257" ht="22.5" customHeight="1">
      <c r="A257" s="9" t="str">
        <f t="shared" si="1"/>
        <v>LEA-0256</v>
      </c>
      <c r="B257" s="108">
        <v>46017.0</v>
      </c>
      <c r="C257" s="16" t="s">
        <v>63</v>
      </c>
      <c r="D257" s="16" t="s">
        <v>26</v>
      </c>
      <c r="E257" s="109" t="s">
        <v>486</v>
      </c>
      <c r="F257" s="110">
        <v>7.259892022E9</v>
      </c>
      <c r="G257" s="60"/>
      <c r="H257" s="60"/>
      <c r="I257" s="111" t="s">
        <v>487</v>
      </c>
      <c r="J257" s="111" t="s">
        <v>487</v>
      </c>
      <c r="K257" s="104" t="s">
        <v>77</v>
      </c>
      <c r="L257" s="109">
        <v>2.0</v>
      </c>
      <c r="M257" s="55" t="s">
        <v>16</v>
      </c>
      <c r="N257" s="106"/>
      <c r="O257" s="112">
        <v>1200.0</v>
      </c>
      <c r="P257" s="107"/>
      <c r="Q257" s="73"/>
      <c r="R257" s="82" t="s">
        <v>15</v>
      </c>
      <c r="S257" s="74"/>
      <c r="T257" s="75"/>
      <c r="U257" s="8"/>
      <c r="V257" s="8"/>
      <c r="W257" s="8"/>
      <c r="X257" s="8"/>
      <c r="Y257" s="8"/>
      <c r="Z257" s="8"/>
    </row>
    <row r="258" ht="22.5" customHeight="1">
      <c r="A258" s="9" t="str">
        <f t="shared" si="1"/>
        <v>LEA-0257</v>
      </c>
      <c r="B258" s="57">
        <v>46017.0</v>
      </c>
      <c r="C258" s="16" t="s">
        <v>63</v>
      </c>
      <c r="D258" s="16" t="s">
        <v>26</v>
      </c>
      <c r="E258" s="58" t="s">
        <v>488</v>
      </c>
      <c r="F258" s="58">
        <v>9.449829688E9</v>
      </c>
      <c r="G258" s="30"/>
      <c r="H258" s="30"/>
      <c r="I258" s="59" t="s">
        <v>489</v>
      </c>
      <c r="J258" s="113" t="s">
        <v>487</v>
      </c>
      <c r="K258" s="104" t="s">
        <v>77</v>
      </c>
      <c r="L258" s="59">
        <v>5.0</v>
      </c>
      <c r="M258" s="55" t="s">
        <v>16</v>
      </c>
      <c r="N258" s="114"/>
      <c r="O258" s="65">
        <v>3000.0</v>
      </c>
      <c r="P258" s="96"/>
      <c r="Q258" s="63"/>
      <c r="R258" s="82" t="s">
        <v>15</v>
      </c>
      <c r="S258" s="74"/>
      <c r="T258" s="97"/>
      <c r="U258" s="8"/>
      <c r="V258" s="8"/>
      <c r="W258" s="8"/>
      <c r="X258" s="8"/>
      <c r="Y258" s="8"/>
      <c r="Z258" s="8"/>
    </row>
    <row r="259" ht="22.5" customHeight="1">
      <c r="A259" s="9" t="str">
        <f t="shared" si="1"/>
        <v>LEA-0258</v>
      </c>
      <c r="B259" s="115">
        <v>46017.0</v>
      </c>
      <c r="C259" s="16" t="s">
        <v>63</v>
      </c>
      <c r="D259" s="16" t="s">
        <v>26</v>
      </c>
      <c r="E259" s="69" t="s">
        <v>299</v>
      </c>
      <c r="F259" s="69">
        <v>9.591170108E9</v>
      </c>
      <c r="G259" s="103"/>
      <c r="H259" s="116"/>
      <c r="I259" s="69" t="s">
        <v>490</v>
      </c>
      <c r="J259" s="69" t="s">
        <v>77</v>
      </c>
      <c r="K259" s="104" t="s">
        <v>77</v>
      </c>
      <c r="L259" s="69">
        <v>2.0</v>
      </c>
      <c r="M259" s="55" t="s">
        <v>16</v>
      </c>
      <c r="N259" s="71">
        <v>7.0</v>
      </c>
      <c r="O259" s="71">
        <v>1200.0</v>
      </c>
      <c r="P259" s="107"/>
      <c r="Q259" s="73"/>
      <c r="R259" s="82" t="s">
        <v>15</v>
      </c>
      <c r="S259" s="117"/>
      <c r="T259" s="75"/>
      <c r="U259" s="8"/>
      <c r="V259" s="8"/>
      <c r="W259" s="8"/>
      <c r="X259" s="8"/>
      <c r="Y259" s="8"/>
      <c r="Z259" s="8"/>
    </row>
    <row r="260" ht="22.5" customHeight="1">
      <c r="A260" s="9" t="str">
        <f t="shared" si="1"/>
        <v>LEA-0259</v>
      </c>
      <c r="B260" s="118">
        <v>46017.0</v>
      </c>
      <c r="C260" s="16" t="s">
        <v>63</v>
      </c>
      <c r="D260" s="16" t="s">
        <v>26</v>
      </c>
      <c r="E260" s="59" t="s">
        <v>491</v>
      </c>
      <c r="F260" s="59">
        <v>8.861478333E9</v>
      </c>
      <c r="G260" s="60"/>
      <c r="H260" s="60"/>
      <c r="I260" s="59" t="s">
        <v>492</v>
      </c>
      <c r="J260" s="59" t="s">
        <v>492</v>
      </c>
      <c r="K260" s="104" t="s">
        <v>77</v>
      </c>
      <c r="L260" s="59">
        <v>8.0</v>
      </c>
      <c r="M260" s="55" t="s">
        <v>16</v>
      </c>
      <c r="N260" s="111">
        <v>40.0</v>
      </c>
      <c r="O260" s="65">
        <v>4800.0</v>
      </c>
      <c r="P260" s="96"/>
      <c r="Q260" s="63"/>
      <c r="R260" s="82" t="s">
        <v>15</v>
      </c>
      <c r="S260" s="117"/>
      <c r="U260" s="8"/>
      <c r="V260" s="8"/>
      <c r="W260" s="8"/>
      <c r="X260" s="8"/>
      <c r="Y260" s="8"/>
      <c r="Z260" s="8"/>
    </row>
    <row r="261" ht="22.5" customHeight="1">
      <c r="A261" s="9" t="str">
        <f t="shared" si="1"/>
        <v>LEA-0260</v>
      </c>
      <c r="B261" s="115">
        <v>46017.0</v>
      </c>
      <c r="C261" s="16" t="s">
        <v>63</v>
      </c>
      <c r="D261" s="16" t="s">
        <v>26</v>
      </c>
      <c r="E261" s="69" t="s">
        <v>366</v>
      </c>
      <c r="F261" s="69">
        <v>9.141333263E9</v>
      </c>
      <c r="G261" s="116"/>
      <c r="H261" s="116"/>
      <c r="I261" s="69" t="s">
        <v>493</v>
      </c>
      <c r="J261" s="69" t="s">
        <v>77</v>
      </c>
      <c r="K261" s="119" t="s">
        <v>77</v>
      </c>
      <c r="L261" s="69">
        <v>3.0</v>
      </c>
      <c r="M261" s="55" t="s">
        <v>16</v>
      </c>
      <c r="N261" s="120"/>
      <c r="O261" s="121">
        <v>1800.0</v>
      </c>
      <c r="P261" s="107"/>
      <c r="Q261" s="73"/>
      <c r="R261" s="82" t="s">
        <v>15</v>
      </c>
      <c r="S261" s="122"/>
      <c r="T261" s="8"/>
      <c r="U261" s="8"/>
      <c r="V261" s="8"/>
      <c r="W261" s="8"/>
      <c r="X261" s="8"/>
      <c r="Y261" s="8"/>
      <c r="Z261" s="8"/>
    </row>
    <row r="262" ht="22.5" customHeight="1">
      <c r="A262" s="9" t="str">
        <f t="shared" si="1"/>
        <v>LEA-0261</v>
      </c>
      <c r="B262" s="123">
        <v>46017.0</v>
      </c>
      <c r="C262" s="16" t="s">
        <v>63</v>
      </c>
      <c r="D262" s="16" t="s">
        <v>26</v>
      </c>
      <c r="E262" s="68" t="s">
        <v>494</v>
      </c>
      <c r="F262" s="68">
        <v>6.361894949E9</v>
      </c>
      <c r="G262" s="43"/>
      <c r="H262" s="43"/>
      <c r="I262" s="68" t="s">
        <v>495</v>
      </c>
      <c r="J262" s="68" t="s">
        <v>419</v>
      </c>
      <c r="K262" s="119" t="s">
        <v>77</v>
      </c>
      <c r="L262" s="68">
        <v>2.5</v>
      </c>
      <c r="M262" s="55" t="s">
        <v>16</v>
      </c>
      <c r="N262" s="124">
        <v>12.0</v>
      </c>
      <c r="O262" s="65">
        <v>1500.0</v>
      </c>
      <c r="P262" s="125"/>
      <c r="Q262" s="48"/>
      <c r="R262" s="64" t="s">
        <v>15</v>
      </c>
      <c r="S262" s="126"/>
      <c r="T262" s="8"/>
      <c r="U262" s="8"/>
      <c r="V262" s="8"/>
      <c r="W262" s="8"/>
      <c r="X262" s="8"/>
      <c r="Y262" s="8"/>
      <c r="Z262" s="8"/>
    </row>
    <row r="263" ht="22.5" customHeight="1">
      <c r="A263" s="9" t="str">
        <f t="shared" si="1"/>
        <v>LEA-0262</v>
      </c>
      <c r="B263" s="115">
        <v>46017.0</v>
      </c>
      <c r="C263" s="16" t="s">
        <v>63</v>
      </c>
      <c r="D263" s="16" t="s">
        <v>26</v>
      </c>
      <c r="E263" s="69" t="s">
        <v>496</v>
      </c>
      <c r="F263" s="69">
        <v>9.901271719E9</v>
      </c>
      <c r="G263" s="116"/>
      <c r="H263" s="116"/>
      <c r="I263" s="69" t="s">
        <v>497</v>
      </c>
      <c r="J263" s="69" t="s">
        <v>46</v>
      </c>
      <c r="K263" s="127" t="s">
        <v>46</v>
      </c>
      <c r="L263" s="69">
        <v>2.0</v>
      </c>
      <c r="M263" s="55" t="s">
        <v>16</v>
      </c>
      <c r="N263" s="120"/>
      <c r="O263" s="121">
        <v>1200.0</v>
      </c>
      <c r="P263" s="107"/>
      <c r="Q263" s="73"/>
      <c r="R263" s="64" t="s">
        <v>15</v>
      </c>
      <c r="S263" s="122"/>
      <c r="T263" s="8"/>
      <c r="U263" s="8"/>
      <c r="V263" s="8"/>
      <c r="W263" s="8"/>
      <c r="X263" s="8"/>
      <c r="Y263" s="8"/>
      <c r="Z263" s="8"/>
    </row>
    <row r="264" ht="22.5" customHeight="1">
      <c r="A264" s="9" t="str">
        <f t="shared" si="1"/>
        <v>LEA-0263</v>
      </c>
      <c r="B264" s="118">
        <v>46017.0</v>
      </c>
      <c r="C264" s="16" t="s">
        <v>63</v>
      </c>
      <c r="D264" s="16" t="s">
        <v>26</v>
      </c>
      <c r="E264" s="59" t="s">
        <v>203</v>
      </c>
      <c r="F264" s="59">
        <v>6.360263098E9</v>
      </c>
      <c r="G264" s="60"/>
      <c r="H264" s="60"/>
      <c r="I264" s="59" t="s">
        <v>73</v>
      </c>
      <c r="J264" s="59" t="s">
        <v>498</v>
      </c>
      <c r="K264" s="128" t="s">
        <v>68</v>
      </c>
      <c r="L264" s="59">
        <v>3.0</v>
      </c>
      <c r="M264" s="55" t="s">
        <v>16</v>
      </c>
      <c r="N264" s="65">
        <v>40.0</v>
      </c>
      <c r="O264" s="59">
        <v>1800.0</v>
      </c>
      <c r="P264" s="96"/>
      <c r="Q264" s="63"/>
      <c r="R264" s="64" t="s">
        <v>15</v>
      </c>
      <c r="S264" s="129"/>
      <c r="T264" s="8"/>
      <c r="U264" s="8"/>
      <c r="V264" s="8"/>
      <c r="W264" s="8"/>
      <c r="X264" s="8"/>
      <c r="Y264" s="8"/>
      <c r="Z264" s="8"/>
    </row>
    <row r="265" ht="22.5" customHeight="1">
      <c r="A265" s="9" t="str">
        <f t="shared" si="1"/>
        <v>LEA-0264</v>
      </c>
      <c r="B265" s="115">
        <v>46017.0</v>
      </c>
      <c r="C265" s="16" t="s">
        <v>63</v>
      </c>
      <c r="D265" s="16" t="s">
        <v>26</v>
      </c>
      <c r="E265" s="58" t="s">
        <v>499</v>
      </c>
      <c r="F265" s="58">
        <v>9.980989422E9</v>
      </c>
      <c r="G265" s="130">
        <v>7.89270563E9</v>
      </c>
      <c r="H265" s="30"/>
      <c r="I265" s="58" t="s">
        <v>500</v>
      </c>
      <c r="J265" s="59" t="s">
        <v>498</v>
      </c>
      <c r="K265" s="128" t="s">
        <v>68</v>
      </c>
      <c r="L265" s="58">
        <v>1.5</v>
      </c>
      <c r="M265" s="55" t="s">
        <v>16</v>
      </c>
      <c r="N265" s="88"/>
      <c r="O265" s="58">
        <v>800.0</v>
      </c>
      <c r="P265" s="131"/>
      <c r="Q265" s="35"/>
      <c r="R265" s="64" t="s">
        <v>15</v>
      </c>
      <c r="S265" s="132"/>
      <c r="T265" s="8"/>
      <c r="U265" s="8"/>
      <c r="V265" s="8"/>
      <c r="W265" s="8"/>
      <c r="X265" s="8"/>
      <c r="Y265" s="8"/>
      <c r="Z265" s="8"/>
    </row>
    <row r="266" ht="22.5" customHeight="1">
      <c r="A266" s="9" t="str">
        <f t="shared" si="1"/>
        <v>LEA-0265</v>
      </c>
      <c r="B266" s="118">
        <v>46017.0</v>
      </c>
      <c r="C266" s="16" t="s">
        <v>63</v>
      </c>
      <c r="D266" s="16" t="s">
        <v>26</v>
      </c>
      <c r="E266" s="68" t="s">
        <v>337</v>
      </c>
      <c r="F266" s="68">
        <v>9.731951145E9</v>
      </c>
      <c r="G266" s="43"/>
      <c r="H266" s="43"/>
      <c r="I266" s="68" t="s">
        <v>501</v>
      </c>
      <c r="J266" s="59" t="s">
        <v>498</v>
      </c>
      <c r="K266" s="128" t="s">
        <v>68</v>
      </c>
      <c r="L266" s="68">
        <v>1.0</v>
      </c>
      <c r="M266" s="55" t="s">
        <v>16</v>
      </c>
      <c r="N266" s="133"/>
      <c r="O266" s="68">
        <v>600.0</v>
      </c>
      <c r="P266" s="125"/>
      <c r="Q266" s="48"/>
      <c r="R266" s="64" t="s">
        <v>15</v>
      </c>
      <c r="S266" s="126"/>
      <c r="T266" s="8"/>
      <c r="U266" s="8"/>
      <c r="V266" s="8"/>
      <c r="W266" s="8"/>
      <c r="X266" s="8"/>
      <c r="Y266" s="8"/>
      <c r="Z266" s="8"/>
    </row>
    <row r="267" ht="22.5" customHeight="1">
      <c r="A267" s="9" t="str">
        <f t="shared" si="1"/>
        <v>LEA-0266</v>
      </c>
      <c r="B267" s="134">
        <v>46017.0</v>
      </c>
      <c r="C267" s="16" t="s">
        <v>63</v>
      </c>
      <c r="D267" s="16" t="s">
        <v>26</v>
      </c>
      <c r="E267" s="135" t="s">
        <v>212</v>
      </c>
      <c r="F267" s="135">
        <v>9.731747657E9</v>
      </c>
      <c r="G267" s="30"/>
      <c r="H267" s="30"/>
      <c r="I267" s="135" t="s">
        <v>502</v>
      </c>
      <c r="J267" s="135" t="s">
        <v>503</v>
      </c>
      <c r="K267" s="128" t="s">
        <v>68</v>
      </c>
      <c r="L267" s="135">
        <v>1.5</v>
      </c>
      <c r="M267" s="55" t="s">
        <v>16</v>
      </c>
      <c r="N267" s="136">
        <v>25.0</v>
      </c>
      <c r="O267" s="135">
        <v>900.0</v>
      </c>
      <c r="P267" s="131"/>
      <c r="Q267" s="35"/>
      <c r="R267" s="64" t="s">
        <v>15</v>
      </c>
      <c r="S267" s="132"/>
      <c r="T267" s="8"/>
      <c r="U267" s="8"/>
      <c r="V267" s="8"/>
      <c r="W267" s="8"/>
      <c r="X267" s="8"/>
      <c r="Y267" s="8"/>
      <c r="Z267" s="8"/>
    </row>
    <row r="268" ht="22.5" customHeight="1">
      <c r="A268" s="9" t="str">
        <f t="shared" si="1"/>
        <v>LEA-0267</v>
      </c>
      <c r="B268" s="123">
        <v>46017.0</v>
      </c>
      <c r="C268" s="16" t="s">
        <v>63</v>
      </c>
      <c r="D268" s="16" t="s">
        <v>26</v>
      </c>
      <c r="E268" s="59" t="s">
        <v>504</v>
      </c>
      <c r="F268" s="59">
        <v>9.880115863E9</v>
      </c>
      <c r="G268" s="60"/>
      <c r="H268" s="60"/>
      <c r="I268" s="59" t="s">
        <v>505</v>
      </c>
      <c r="J268" s="137" t="s">
        <v>68</v>
      </c>
      <c r="K268" s="128" t="s">
        <v>68</v>
      </c>
      <c r="L268" s="59">
        <v>1.8</v>
      </c>
      <c r="M268" s="55" t="s">
        <v>16</v>
      </c>
      <c r="N268" s="61"/>
      <c r="O268" s="59">
        <v>300.0</v>
      </c>
      <c r="P268" s="96"/>
      <c r="Q268" s="63"/>
      <c r="R268" s="64" t="s">
        <v>15</v>
      </c>
      <c r="S268" s="129"/>
      <c r="T268" s="8"/>
      <c r="U268" s="8"/>
      <c r="V268" s="8"/>
      <c r="W268" s="8"/>
      <c r="X268" s="8"/>
      <c r="Y268" s="8"/>
      <c r="Z268" s="8"/>
    </row>
    <row r="269" ht="22.5" customHeight="1">
      <c r="A269" s="9" t="str">
        <f t="shared" si="1"/>
        <v>LEA-0268</v>
      </c>
      <c r="B269" s="138">
        <v>46017.0</v>
      </c>
      <c r="C269" s="16" t="s">
        <v>63</v>
      </c>
      <c r="D269" s="16" t="s">
        <v>26</v>
      </c>
      <c r="E269" s="69" t="s">
        <v>506</v>
      </c>
      <c r="F269" s="69">
        <v>6.363539959E9</v>
      </c>
      <c r="G269" s="139"/>
      <c r="H269" s="116"/>
      <c r="I269" s="69" t="s">
        <v>507</v>
      </c>
      <c r="J269" s="135" t="s">
        <v>275</v>
      </c>
      <c r="K269" s="128" t="s">
        <v>68</v>
      </c>
      <c r="L269" s="69">
        <v>3.0</v>
      </c>
      <c r="M269" s="55" t="s">
        <v>16</v>
      </c>
      <c r="N269" s="120"/>
      <c r="O269" s="69">
        <v>1800.0</v>
      </c>
      <c r="P269" s="107"/>
      <c r="Q269" s="73"/>
      <c r="R269" s="64" t="s">
        <v>15</v>
      </c>
      <c r="S269" s="122"/>
      <c r="T269" s="8"/>
      <c r="U269" s="8"/>
      <c r="V269" s="8"/>
      <c r="W269" s="8"/>
      <c r="X269" s="8"/>
      <c r="Y269" s="8"/>
      <c r="Z269" s="8"/>
    </row>
    <row r="270" ht="22.5" customHeight="1">
      <c r="A270" s="9" t="str">
        <f t="shared" si="1"/>
        <v>LEA-0269</v>
      </c>
      <c r="B270" s="123">
        <v>46017.0</v>
      </c>
      <c r="C270" s="16" t="s">
        <v>63</v>
      </c>
      <c r="D270" s="16" t="s">
        <v>26</v>
      </c>
      <c r="E270" s="109" t="s">
        <v>508</v>
      </c>
      <c r="F270" s="110">
        <v>9.945251795E9</v>
      </c>
      <c r="G270" s="60"/>
      <c r="H270" s="60"/>
      <c r="I270" s="110" t="s">
        <v>509</v>
      </c>
      <c r="J270" s="110" t="s">
        <v>510</v>
      </c>
      <c r="K270" s="140" t="s">
        <v>85</v>
      </c>
      <c r="L270" s="109">
        <v>6.0</v>
      </c>
      <c r="M270" s="55" t="s">
        <v>16</v>
      </c>
      <c r="N270" s="114"/>
      <c r="O270" s="109">
        <v>3600.0</v>
      </c>
      <c r="P270" s="96"/>
      <c r="Q270" s="63"/>
      <c r="R270" s="64" t="s">
        <v>15</v>
      </c>
      <c r="S270" s="129"/>
      <c r="T270" s="8"/>
      <c r="U270" s="8"/>
      <c r="V270" s="8"/>
      <c r="W270" s="8"/>
      <c r="X270" s="8"/>
      <c r="Y270" s="8"/>
      <c r="Z270" s="8"/>
    </row>
    <row r="271" ht="22.5" customHeight="1">
      <c r="A271" s="9" t="str">
        <f t="shared" si="1"/>
        <v>LEA-0270</v>
      </c>
      <c r="B271" s="141">
        <v>46017.0</v>
      </c>
      <c r="C271" s="16" t="s">
        <v>63</v>
      </c>
      <c r="D271" s="16" t="s">
        <v>26</v>
      </c>
      <c r="E271" s="17" t="s">
        <v>511</v>
      </c>
      <c r="F271" s="17">
        <v>9.880423118E9</v>
      </c>
      <c r="G271" s="17"/>
      <c r="H271" s="17"/>
      <c r="I271" s="17" t="s">
        <v>512</v>
      </c>
      <c r="J271" s="17" t="s">
        <v>513</v>
      </c>
      <c r="K271" s="140" t="s">
        <v>85</v>
      </c>
      <c r="L271" s="17">
        <v>1.0</v>
      </c>
      <c r="M271" s="55" t="s">
        <v>16</v>
      </c>
      <c r="N271" s="19"/>
      <c r="O271" s="17">
        <v>600.0</v>
      </c>
      <c r="P271" s="21"/>
      <c r="Q271" s="18"/>
      <c r="R271" s="64" t="s">
        <v>15</v>
      </c>
      <c r="S271" s="9"/>
      <c r="T271" s="8"/>
      <c r="U271" s="8"/>
      <c r="V271" s="8"/>
      <c r="W271" s="8"/>
      <c r="X271" s="8"/>
      <c r="Y271" s="8"/>
      <c r="Z271" s="8"/>
    </row>
    <row r="272" ht="22.5" customHeight="1">
      <c r="A272" s="9" t="str">
        <f t="shared" si="1"/>
        <v>LEA-0271</v>
      </c>
      <c r="B272" s="142">
        <v>46017.0</v>
      </c>
      <c r="C272" s="16" t="s">
        <v>63</v>
      </c>
      <c r="D272" s="16" t="s">
        <v>26</v>
      </c>
      <c r="E272" s="59" t="s">
        <v>203</v>
      </c>
      <c r="F272" s="59">
        <v>9.844938356E9</v>
      </c>
      <c r="G272" s="143"/>
      <c r="H272" s="143"/>
      <c r="I272" s="59" t="s">
        <v>514</v>
      </c>
      <c r="J272" s="59" t="s">
        <v>510</v>
      </c>
      <c r="K272" s="140" t="s">
        <v>85</v>
      </c>
      <c r="L272" s="59">
        <v>2.0</v>
      </c>
      <c r="M272" s="55" t="s">
        <v>16</v>
      </c>
      <c r="N272" s="144"/>
      <c r="O272" s="59">
        <v>1200.0</v>
      </c>
      <c r="P272" s="145"/>
      <c r="Q272" s="146"/>
      <c r="R272" s="64" t="s">
        <v>15</v>
      </c>
      <c r="S272" s="147"/>
      <c r="T272" s="8"/>
      <c r="U272" s="8"/>
      <c r="V272" s="8"/>
      <c r="W272" s="8"/>
      <c r="X272" s="8"/>
      <c r="Y272" s="8"/>
      <c r="Z272" s="8"/>
    </row>
    <row r="273" ht="22.5" customHeight="1">
      <c r="A273" s="9" t="str">
        <f t="shared" si="1"/>
        <v>LEA-0272</v>
      </c>
      <c r="B273" s="148">
        <v>46017.0</v>
      </c>
      <c r="C273" s="16" t="s">
        <v>63</v>
      </c>
      <c r="D273" s="16" t="s">
        <v>26</v>
      </c>
      <c r="E273" s="59" t="s">
        <v>515</v>
      </c>
      <c r="F273" s="68">
        <v>9.972343487E9</v>
      </c>
      <c r="G273" s="149">
        <v>9.901303488E9</v>
      </c>
      <c r="H273" s="150"/>
      <c r="I273" s="68" t="s">
        <v>516</v>
      </c>
      <c r="J273" s="68" t="s">
        <v>517</v>
      </c>
      <c r="K273" s="128" t="s">
        <v>80</v>
      </c>
      <c r="L273" s="68">
        <v>6.0</v>
      </c>
      <c r="M273" s="55" t="s">
        <v>16</v>
      </c>
      <c r="N273" s="151">
        <v>40.0</v>
      </c>
      <c r="O273" s="68">
        <v>3600.0</v>
      </c>
      <c r="P273" s="152"/>
      <c r="Q273" s="153"/>
      <c r="R273" s="64" t="s">
        <v>15</v>
      </c>
      <c r="S273" s="50"/>
      <c r="T273" s="8"/>
      <c r="U273" s="8"/>
      <c r="V273" s="8"/>
      <c r="W273" s="8"/>
      <c r="X273" s="8"/>
      <c r="Y273" s="8"/>
      <c r="Z273" s="8"/>
    </row>
    <row r="274" ht="22.5" customHeight="1">
      <c r="A274" s="9" t="str">
        <f t="shared" si="1"/>
        <v>LEA-0273</v>
      </c>
      <c r="B274" s="154">
        <v>46017.0</v>
      </c>
      <c r="C274" s="16" t="s">
        <v>63</v>
      </c>
      <c r="D274" s="16" t="s">
        <v>26</v>
      </c>
      <c r="E274" s="59" t="s">
        <v>518</v>
      </c>
      <c r="F274" s="59">
        <v>9.900187161E9</v>
      </c>
      <c r="G274" s="143"/>
      <c r="H274" s="143"/>
      <c r="I274" s="59" t="s">
        <v>519</v>
      </c>
      <c r="J274" s="59" t="s">
        <v>520</v>
      </c>
      <c r="K274" s="155" t="s">
        <v>98</v>
      </c>
      <c r="L274" s="59">
        <v>1.0</v>
      </c>
      <c r="M274" s="55" t="s">
        <v>16</v>
      </c>
      <c r="N274" s="61"/>
      <c r="O274" s="59">
        <v>600.0</v>
      </c>
      <c r="P274" s="145"/>
      <c r="Q274" s="146"/>
      <c r="R274" s="64" t="s">
        <v>15</v>
      </c>
      <c r="S274" s="156"/>
      <c r="T274" s="8"/>
      <c r="U274" s="8"/>
      <c r="V274" s="8"/>
      <c r="W274" s="8"/>
      <c r="X274" s="8"/>
      <c r="Y274" s="8"/>
      <c r="Z274" s="8"/>
    </row>
    <row r="275" ht="22.5" customHeight="1">
      <c r="A275" s="9" t="str">
        <f t="shared" si="1"/>
        <v>LEA-0274</v>
      </c>
      <c r="B275" s="92">
        <v>46017.0</v>
      </c>
      <c r="C275" s="16" t="s">
        <v>63</v>
      </c>
      <c r="D275" s="16" t="s">
        <v>26</v>
      </c>
      <c r="E275" s="58" t="s">
        <v>521</v>
      </c>
      <c r="F275" s="58">
        <v>8.197368499E9</v>
      </c>
      <c r="G275" s="157"/>
      <c r="H275" s="157"/>
      <c r="I275" s="58" t="s">
        <v>522</v>
      </c>
      <c r="J275" s="58" t="s">
        <v>523</v>
      </c>
      <c r="K275" s="119" t="s">
        <v>100</v>
      </c>
      <c r="L275" s="58">
        <v>10.0</v>
      </c>
      <c r="M275" s="55" t="s">
        <v>16</v>
      </c>
      <c r="N275" s="158">
        <v>2.0</v>
      </c>
      <c r="O275" s="58">
        <v>6000.0</v>
      </c>
      <c r="P275" s="159"/>
      <c r="Q275" s="160"/>
      <c r="R275" s="64" t="s">
        <v>15</v>
      </c>
      <c r="S275" s="37"/>
      <c r="T275" s="8"/>
      <c r="U275" s="8"/>
      <c r="V275" s="8"/>
      <c r="W275" s="8"/>
      <c r="X275" s="8"/>
      <c r="Y275" s="8"/>
      <c r="Z275" s="8"/>
    </row>
    <row r="276" ht="22.5" customHeight="1">
      <c r="A276" s="9" t="str">
        <f t="shared" si="1"/>
        <v>LEA-0275</v>
      </c>
      <c r="B276" s="148">
        <v>46017.0</v>
      </c>
      <c r="C276" s="16" t="s">
        <v>63</v>
      </c>
      <c r="D276" s="16" t="s">
        <v>26</v>
      </c>
      <c r="E276" s="68" t="s">
        <v>524</v>
      </c>
      <c r="F276" s="68">
        <v>6.363100199E9</v>
      </c>
      <c r="G276" s="150"/>
      <c r="H276" s="150"/>
      <c r="I276" s="68" t="s">
        <v>525</v>
      </c>
      <c r="J276" s="58" t="s">
        <v>523</v>
      </c>
      <c r="K276" s="119" t="s">
        <v>100</v>
      </c>
      <c r="L276" s="68">
        <v>2.0</v>
      </c>
      <c r="M276" s="55" t="s">
        <v>16</v>
      </c>
      <c r="N276" s="124">
        <v>5.0</v>
      </c>
      <c r="O276" s="68">
        <v>1200.0</v>
      </c>
      <c r="P276" s="152"/>
      <c r="Q276" s="153"/>
      <c r="R276" s="64" t="s">
        <v>15</v>
      </c>
      <c r="S276" s="50"/>
      <c r="T276" s="8"/>
      <c r="U276" s="8"/>
      <c r="V276" s="8"/>
      <c r="W276" s="8"/>
      <c r="X276" s="8"/>
      <c r="Y276" s="8"/>
      <c r="Z276" s="8"/>
    </row>
    <row r="277" ht="22.5" customHeight="1">
      <c r="A277" s="9" t="str">
        <f t="shared" si="1"/>
        <v>LEA-0276</v>
      </c>
      <c r="B277" s="161">
        <v>46017.0</v>
      </c>
      <c r="C277" s="16" t="s">
        <v>63</v>
      </c>
      <c r="D277" s="16" t="s">
        <v>26</v>
      </c>
      <c r="E277" s="58" t="s">
        <v>526</v>
      </c>
      <c r="F277" s="58">
        <v>9.632831024E9</v>
      </c>
      <c r="G277" s="157"/>
      <c r="H277" s="157"/>
      <c r="I277" s="58" t="s">
        <v>527</v>
      </c>
      <c r="J277" s="58" t="s">
        <v>528</v>
      </c>
      <c r="K277" s="119" t="s">
        <v>100</v>
      </c>
      <c r="L277" s="68">
        <v>2.0</v>
      </c>
      <c r="M277" s="55" t="s">
        <v>16</v>
      </c>
      <c r="N277" s="162"/>
      <c r="O277" s="68">
        <v>1200.0</v>
      </c>
      <c r="P277" s="159"/>
      <c r="Q277" s="160"/>
      <c r="R277" s="64" t="s">
        <v>15</v>
      </c>
      <c r="S277" s="37"/>
      <c r="T277" s="8"/>
      <c r="U277" s="8"/>
      <c r="V277" s="8"/>
      <c r="W277" s="8"/>
      <c r="X277" s="8"/>
      <c r="Y277" s="8"/>
      <c r="Z277" s="8"/>
    </row>
    <row r="278" ht="22.5" customHeight="1">
      <c r="A278" s="9" t="str">
        <f t="shared" si="1"/>
        <v>LEA-0277</v>
      </c>
      <c r="B278" s="148">
        <v>46017.0</v>
      </c>
      <c r="C278" s="16" t="s">
        <v>63</v>
      </c>
      <c r="D278" s="16" t="s">
        <v>26</v>
      </c>
      <c r="E278" s="68" t="s">
        <v>529</v>
      </c>
      <c r="F278" s="68">
        <v>7.019869268E9</v>
      </c>
      <c r="G278" s="150"/>
      <c r="H278" s="150"/>
      <c r="I278" s="68" t="s">
        <v>530</v>
      </c>
      <c r="J278" s="68" t="s">
        <v>531</v>
      </c>
      <c r="K278" s="128" t="s">
        <v>61</v>
      </c>
      <c r="L278" s="68">
        <v>1.0</v>
      </c>
      <c r="M278" s="55" t="s">
        <v>16</v>
      </c>
      <c r="N278" s="79"/>
      <c r="O278" s="68">
        <v>600.0</v>
      </c>
      <c r="P278" s="152"/>
      <c r="Q278" s="153"/>
      <c r="R278" s="64" t="s">
        <v>15</v>
      </c>
      <c r="S278" s="50"/>
      <c r="T278" s="8"/>
      <c r="U278" s="8"/>
      <c r="V278" s="8"/>
      <c r="W278" s="8"/>
      <c r="X278" s="8"/>
      <c r="Y278" s="8"/>
      <c r="Z278" s="8"/>
    </row>
    <row r="279" ht="22.5" customHeight="1">
      <c r="A279" s="9" t="str">
        <f t="shared" si="1"/>
        <v>LEA-0278</v>
      </c>
      <c r="B279" s="161">
        <v>46017.0</v>
      </c>
      <c r="C279" s="16" t="s">
        <v>63</v>
      </c>
      <c r="D279" s="16" t="s">
        <v>26</v>
      </c>
      <c r="E279" s="58" t="s">
        <v>306</v>
      </c>
      <c r="F279" s="58">
        <v>9.900634794E9</v>
      </c>
      <c r="G279" s="157"/>
      <c r="H279" s="157"/>
      <c r="I279" s="58" t="s">
        <v>532</v>
      </c>
      <c r="J279" s="58" t="s">
        <v>533</v>
      </c>
      <c r="K279" s="128" t="s">
        <v>61</v>
      </c>
      <c r="L279" s="58">
        <v>1.5</v>
      </c>
      <c r="M279" s="55" t="s">
        <v>16</v>
      </c>
      <c r="N279" s="87"/>
      <c r="O279" s="58">
        <v>900.0</v>
      </c>
      <c r="P279" s="159"/>
      <c r="Q279" s="160"/>
      <c r="R279" s="64" t="s">
        <v>15</v>
      </c>
      <c r="S279" s="37"/>
      <c r="T279" s="8"/>
      <c r="U279" s="8"/>
      <c r="V279" s="8"/>
      <c r="W279" s="8"/>
      <c r="X279" s="8"/>
      <c r="Y279" s="8"/>
      <c r="Z279" s="8"/>
    </row>
    <row r="280" ht="22.5" customHeight="1">
      <c r="A280" s="9" t="str">
        <f t="shared" si="1"/>
        <v>LEA-0279</v>
      </c>
      <c r="B280" s="148">
        <v>46017.0</v>
      </c>
      <c r="C280" s="16" t="s">
        <v>63</v>
      </c>
      <c r="D280" s="16" t="s">
        <v>26</v>
      </c>
      <c r="E280" s="68" t="s">
        <v>534</v>
      </c>
      <c r="F280" s="68">
        <v>8.310863874E9</v>
      </c>
      <c r="G280" s="42"/>
      <c r="H280" s="150"/>
      <c r="I280" s="68" t="s">
        <v>535</v>
      </c>
      <c r="J280" s="68" t="s">
        <v>75</v>
      </c>
      <c r="K280" s="128" t="s">
        <v>75</v>
      </c>
      <c r="L280" s="68">
        <v>2.0</v>
      </c>
      <c r="M280" s="55" t="s">
        <v>16</v>
      </c>
      <c r="N280" s="151">
        <v>6.0</v>
      </c>
      <c r="O280" s="68">
        <v>1200.0</v>
      </c>
      <c r="P280" s="152"/>
      <c r="Q280" s="153"/>
      <c r="R280" s="64" t="s">
        <v>15</v>
      </c>
      <c r="S280" s="50"/>
      <c r="T280" s="8"/>
      <c r="U280" s="8"/>
      <c r="V280" s="8"/>
      <c r="W280" s="8"/>
      <c r="X280" s="8"/>
      <c r="Y280" s="8"/>
      <c r="Z280" s="8"/>
    </row>
    <row r="281" ht="22.5" customHeight="1">
      <c r="A281" s="9" t="str">
        <f t="shared" si="1"/>
        <v>LEA-0280</v>
      </c>
      <c r="B281" s="141">
        <v>46017.0</v>
      </c>
      <c r="C281" s="16" t="s">
        <v>63</v>
      </c>
      <c r="D281" s="16" t="s">
        <v>26</v>
      </c>
      <c r="E281" s="17" t="s">
        <v>391</v>
      </c>
      <c r="F281" s="17">
        <v>7.349202373E9</v>
      </c>
      <c r="G281" s="17"/>
      <c r="H281" s="17"/>
      <c r="I281" s="17" t="s">
        <v>536</v>
      </c>
      <c r="J281" s="17" t="s">
        <v>210</v>
      </c>
      <c r="K281" s="128" t="s">
        <v>75</v>
      </c>
      <c r="L281" s="17">
        <v>1.0</v>
      </c>
      <c r="M281" s="55" t="s">
        <v>16</v>
      </c>
      <c r="N281" s="19">
        <v>10.0</v>
      </c>
      <c r="O281" s="17">
        <v>600.0</v>
      </c>
      <c r="P281" s="21"/>
      <c r="Q281" s="18"/>
      <c r="R281" s="64" t="s">
        <v>15</v>
      </c>
      <c r="S281" s="9"/>
      <c r="T281" s="8"/>
      <c r="U281" s="8"/>
      <c r="V281" s="8"/>
      <c r="W281" s="8"/>
      <c r="X281" s="8"/>
      <c r="Y281" s="8"/>
      <c r="Z281" s="8"/>
    </row>
    <row r="282" ht="22.5" customHeight="1">
      <c r="A282" s="9" t="str">
        <f t="shared" si="1"/>
        <v>LEA-0281</v>
      </c>
      <c r="B282" s="141">
        <v>46017.0</v>
      </c>
      <c r="C282" s="16" t="s">
        <v>63</v>
      </c>
      <c r="D282" s="16" t="s">
        <v>26</v>
      </c>
      <c r="E282" s="17" t="s">
        <v>537</v>
      </c>
      <c r="F282" s="17">
        <v>9.945439171E9</v>
      </c>
      <c r="G282" s="17"/>
      <c r="H282" s="17"/>
      <c r="I282" s="17" t="s">
        <v>538</v>
      </c>
      <c r="J282" s="17" t="s">
        <v>75</v>
      </c>
      <c r="K282" s="128" t="s">
        <v>75</v>
      </c>
      <c r="L282" s="17">
        <v>4.0</v>
      </c>
      <c r="M282" s="55" t="s">
        <v>16</v>
      </c>
      <c r="N282" s="19"/>
      <c r="O282" s="17">
        <v>2400.0</v>
      </c>
      <c r="P282" s="21"/>
      <c r="Q282" s="18"/>
      <c r="R282" s="64" t="s">
        <v>15</v>
      </c>
      <c r="S282" s="9"/>
      <c r="T282" s="8"/>
      <c r="U282" s="8"/>
      <c r="V282" s="8"/>
      <c r="W282" s="8"/>
      <c r="X282" s="8"/>
      <c r="Y282" s="8"/>
      <c r="Z282" s="8"/>
    </row>
    <row r="283" ht="22.5" customHeight="1">
      <c r="A283" s="9" t="str">
        <f t="shared" si="1"/>
        <v>LEA-0282</v>
      </c>
      <c r="B283" s="142">
        <v>46017.0</v>
      </c>
      <c r="C283" s="16" t="s">
        <v>63</v>
      </c>
      <c r="D283" s="16" t="s">
        <v>26</v>
      </c>
      <c r="E283" s="59" t="s">
        <v>539</v>
      </c>
      <c r="F283" s="59">
        <v>9.53588298E9</v>
      </c>
      <c r="G283" s="143"/>
      <c r="H283" s="143"/>
      <c r="I283" s="59" t="s">
        <v>540</v>
      </c>
      <c r="J283" s="17" t="s">
        <v>75</v>
      </c>
      <c r="K283" s="128" t="s">
        <v>75</v>
      </c>
      <c r="L283" s="59">
        <v>2.0</v>
      </c>
      <c r="M283" s="55" t="s">
        <v>16</v>
      </c>
      <c r="N283" s="144"/>
      <c r="O283" s="59">
        <v>1200.0</v>
      </c>
      <c r="P283" s="145"/>
      <c r="Q283" s="146"/>
      <c r="R283" s="64" t="s">
        <v>15</v>
      </c>
      <c r="S283" s="147"/>
      <c r="T283" s="8"/>
      <c r="U283" s="8"/>
      <c r="V283" s="8"/>
      <c r="W283" s="8"/>
      <c r="X283" s="8"/>
      <c r="Y283" s="8"/>
      <c r="Z283" s="8"/>
    </row>
    <row r="284" ht="22.5" customHeight="1">
      <c r="A284" s="9" t="str">
        <f t="shared" si="1"/>
        <v>LEA-0283</v>
      </c>
      <c r="B284" s="148">
        <v>46017.0</v>
      </c>
      <c r="C284" s="16" t="s">
        <v>63</v>
      </c>
      <c r="D284" s="16" t="s">
        <v>26</v>
      </c>
      <c r="E284" s="68" t="s">
        <v>541</v>
      </c>
      <c r="F284" s="68">
        <v>9.845390043E9</v>
      </c>
      <c r="G284" s="150"/>
      <c r="H284" s="150"/>
      <c r="I284" s="68" t="s">
        <v>542</v>
      </c>
      <c r="J284" s="68" t="s">
        <v>283</v>
      </c>
      <c r="K284" s="128" t="s">
        <v>75</v>
      </c>
      <c r="L284" s="68">
        <v>2.0</v>
      </c>
      <c r="M284" s="55" t="s">
        <v>16</v>
      </c>
      <c r="N284" s="79"/>
      <c r="O284" s="59">
        <v>1200.0</v>
      </c>
      <c r="P284" s="152"/>
      <c r="Q284" s="153"/>
      <c r="R284" s="64" t="s">
        <v>15</v>
      </c>
      <c r="S284" s="50"/>
      <c r="T284" s="8"/>
      <c r="U284" s="8"/>
      <c r="V284" s="8"/>
      <c r="W284" s="8"/>
      <c r="X284" s="8"/>
      <c r="Y284" s="8"/>
      <c r="Z284" s="8"/>
    </row>
    <row r="285" ht="22.5" customHeight="1">
      <c r="A285" s="9" t="str">
        <f t="shared" si="1"/>
        <v>LEA-0284</v>
      </c>
      <c r="B285" s="154">
        <v>46017.0</v>
      </c>
      <c r="C285" s="16" t="s">
        <v>63</v>
      </c>
      <c r="D285" s="16" t="s">
        <v>26</v>
      </c>
      <c r="E285" s="59" t="s">
        <v>543</v>
      </c>
      <c r="F285" s="59">
        <v>8.747992125E9</v>
      </c>
      <c r="G285" s="143"/>
      <c r="H285" s="143"/>
      <c r="I285" s="59" t="s">
        <v>544</v>
      </c>
      <c r="J285" s="59" t="s">
        <v>545</v>
      </c>
      <c r="K285" s="155" t="s">
        <v>35</v>
      </c>
      <c r="L285" s="68">
        <v>2.0</v>
      </c>
      <c r="M285" s="55" t="s">
        <v>16</v>
      </c>
      <c r="N285" s="61"/>
      <c r="O285" s="59">
        <v>1200.0</v>
      </c>
      <c r="P285" s="145"/>
      <c r="Q285" s="146"/>
      <c r="R285" s="64" t="s">
        <v>15</v>
      </c>
      <c r="S285" s="156"/>
      <c r="T285" s="8"/>
      <c r="U285" s="8"/>
      <c r="V285" s="8"/>
      <c r="W285" s="8"/>
      <c r="X285" s="8"/>
      <c r="Y285" s="8"/>
      <c r="Z285" s="8"/>
    </row>
    <row r="286" ht="22.5" customHeight="1">
      <c r="A286" s="9" t="str">
        <f t="shared" si="1"/>
        <v>LEA-0285</v>
      </c>
      <c r="B286" s="92">
        <v>46017.0</v>
      </c>
      <c r="C286" s="16" t="s">
        <v>63</v>
      </c>
      <c r="D286" s="16" t="s">
        <v>26</v>
      </c>
      <c r="E286" s="58" t="s">
        <v>160</v>
      </c>
      <c r="F286" s="58">
        <v>9.242499448E9</v>
      </c>
      <c r="G286" s="157"/>
      <c r="H286" s="157"/>
      <c r="I286" s="58" t="s">
        <v>546</v>
      </c>
      <c r="J286" s="58" t="s">
        <v>547</v>
      </c>
      <c r="K286" s="119" t="s">
        <v>22</v>
      </c>
      <c r="L286" s="58">
        <v>1.0</v>
      </c>
      <c r="M286" s="55" t="s">
        <v>16</v>
      </c>
      <c r="N286" s="162"/>
      <c r="O286" s="58">
        <v>600.0</v>
      </c>
      <c r="P286" s="159"/>
      <c r="Q286" s="160"/>
      <c r="R286" s="64" t="s">
        <v>15</v>
      </c>
      <c r="S286" s="37"/>
      <c r="T286" s="8"/>
      <c r="U286" s="8"/>
      <c r="V286" s="8"/>
      <c r="W286" s="8"/>
      <c r="X286" s="8"/>
      <c r="Y286" s="8"/>
      <c r="Z286" s="8"/>
    </row>
    <row r="287" ht="22.5" customHeight="1">
      <c r="A287" s="9" t="str">
        <f t="shared" si="1"/>
        <v>LEA-0286</v>
      </c>
      <c r="B287" s="148">
        <v>46018.0</v>
      </c>
      <c r="C287" s="163" t="s">
        <v>39</v>
      </c>
      <c r="D287" s="163" t="s">
        <v>62</v>
      </c>
      <c r="E287" s="68" t="s">
        <v>548</v>
      </c>
      <c r="F287" s="68">
        <v>8.618198829E9</v>
      </c>
      <c r="G287" s="150"/>
      <c r="H287" s="150"/>
      <c r="I287" s="68" t="s">
        <v>549</v>
      </c>
      <c r="J287" s="59" t="s">
        <v>487</v>
      </c>
      <c r="K287" s="155" t="s">
        <v>77</v>
      </c>
      <c r="L287" s="68">
        <v>8.0</v>
      </c>
      <c r="M287" s="163" t="s">
        <v>16</v>
      </c>
      <c r="N287" s="124">
        <v>10.0</v>
      </c>
      <c r="O287" s="68">
        <v>4800.0</v>
      </c>
      <c r="P287" s="152"/>
      <c r="Q287" s="153"/>
      <c r="R287" s="164" t="s">
        <v>15</v>
      </c>
      <c r="S287" s="50"/>
      <c r="T287" s="8"/>
      <c r="U287" s="8"/>
      <c r="V287" s="8"/>
      <c r="W287" s="8"/>
      <c r="X287" s="8"/>
      <c r="Y287" s="8"/>
      <c r="Z287" s="8"/>
    </row>
    <row r="288" ht="22.5" customHeight="1">
      <c r="A288" s="9" t="str">
        <f t="shared" si="1"/>
        <v>LEA-0287</v>
      </c>
      <c r="B288" s="165">
        <v>46018.0</v>
      </c>
      <c r="C288" s="163" t="s">
        <v>39</v>
      </c>
      <c r="D288" s="166" t="s">
        <v>62</v>
      </c>
      <c r="E288" s="167" t="s">
        <v>550</v>
      </c>
      <c r="F288" s="167">
        <v>7.975460208E9</v>
      </c>
      <c r="G288" s="168"/>
      <c r="H288" s="168"/>
      <c r="I288" s="167" t="s">
        <v>549</v>
      </c>
      <c r="J288" s="59" t="s">
        <v>487</v>
      </c>
      <c r="K288" s="155" t="s">
        <v>77</v>
      </c>
      <c r="L288" s="167">
        <v>7.0</v>
      </c>
      <c r="M288" s="163" t="s">
        <v>16</v>
      </c>
      <c r="N288" s="169">
        <v>7.0</v>
      </c>
      <c r="O288" s="167">
        <v>4200.0</v>
      </c>
      <c r="P288" s="170"/>
      <c r="Q288" s="171"/>
      <c r="R288" s="164" t="s">
        <v>15</v>
      </c>
      <c r="S288" s="172"/>
      <c r="T288" s="8"/>
      <c r="U288" s="8"/>
      <c r="V288" s="8"/>
      <c r="W288" s="8"/>
      <c r="X288" s="8"/>
      <c r="Y288" s="8"/>
      <c r="Z288" s="8"/>
    </row>
    <row r="289" ht="22.5" customHeight="1">
      <c r="A289" s="9" t="str">
        <f t="shared" si="1"/>
        <v>LEA-0288</v>
      </c>
      <c r="B289" s="165">
        <v>46018.0</v>
      </c>
      <c r="C289" s="163" t="s">
        <v>39</v>
      </c>
      <c r="D289" s="166" t="s">
        <v>62</v>
      </c>
      <c r="E289" s="167" t="s">
        <v>260</v>
      </c>
      <c r="F289" s="167">
        <v>9.900380766E9</v>
      </c>
      <c r="G289" s="168"/>
      <c r="H289" s="168"/>
      <c r="I289" s="167" t="s">
        <v>551</v>
      </c>
      <c r="J289" s="59" t="s">
        <v>487</v>
      </c>
      <c r="K289" s="155" t="s">
        <v>77</v>
      </c>
      <c r="L289" s="167">
        <v>4.0</v>
      </c>
      <c r="M289" s="163" t="s">
        <v>16</v>
      </c>
      <c r="N289" s="169">
        <v>3.2</v>
      </c>
      <c r="O289" s="167">
        <v>2400.0</v>
      </c>
      <c r="P289" s="170"/>
      <c r="Q289" s="171"/>
      <c r="R289" s="164" t="s">
        <v>15</v>
      </c>
      <c r="S289" s="172"/>
      <c r="T289" s="8"/>
      <c r="U289" s="8"/>
      <c r="V289" s="8"/>
      <c r="W289" s="8"/>
      <c r="X289" s="8"/>
      <c r="Y289" s="8"/>
      <c r="Z289" s="8"/>
    </row>
    <row r="290" ht="22.5" customHeight="1">
      <c r="A290" s="9" t="str">
        <f t="shared" si="1"/>
        <v>LEA-0289</v>
      </c>
      <c r="B290" s="165">
        <v>46018.0</v>
      </c>
      <c r="C290" s="163" t="s">
        <v>39</v>
      </c>
      <c r="D290" s="166" t="s">
        <v>62</v>
      </c>
      <c r="E290" s="167" t="s">
        <v>552</v>
      </c>
      <c r="F290" s="167">
        <v>9.663531883E9</v>
      </c>
      <c r="G290" s="168"/>
      <c r="H290" s="168"/>
      <c r="I290" s="167" t="s">
        <v>549</v>
      </c>
      <c r="J290" s="59" t="s">
        <v>487</v>
      </c>
      <c r="K290" s="155" t="s">
        <v>77</v>
      </c>
      <c r="L290" s="167">
        <v>3.0</v>
      </c>
      <c r="M290" s="163" t="s">
        <v>16</v>
      </c>
      <c r="N290" s="169">
        <v>8.0</v>
      </c>
      <c r="O290" s="167">
        <v>1800.0</v>
      </c>
      <c r="P290" s="170"/>
      <c r="Q290" s="171"/>
      <c r="R290" s="164" t="s">
        <v>15</v>
      </c>
      <c r="S290" s="172"/>
      <c r="T290" s="8"/>
      <c r="U290" s="8"/>
      <c r="V290" s="8"/>
      <c r="W290" s="8"/>
      <c r="X290" s="8"/>
      <c r="Y290" s="8"/>
      <c r="Z290" s="8"/>
    </row>
    <row r="291" ht="22.5" customHeight="1">
      <c r="A291" s="9" t="str">
        <f t="shared" si="1"/>
        <v>LEA-0290</v>
      </c>
      <c r="B291" s="165">
        <v>46018.0</v>
      </c>
      <c r="C291" s="163" t="s">
        <v>39</v>
      </c>
      <c r="D291" s="166" t="s">
        <v>62</v>
      </c>
      <c r="E291" s="167" t="s">
        <v>553</v>
      </c>
      <c r="F291" s="167">
        <v>9.980154701E9</v>
      </c>
      <c r="G291" s="168"/>
      <c r="H291" s="168"/>
      <c r="I291" s="167" t="s">
        <v>393</v>
      </c>
      <c r="J291" s="59" t="s">
        <v>487</v>
      </c>
      <c r="K291" s="155" t="s">
        <v>77</v>
      </c>
      <c r="L291" s="167">
        <v>4.0</v>
      </c>
      <c r="M291" s="163" t="s">
        <v>16</v>
      </c>
      <c r="N291" s="169">
        <v>7.0</v>
      </c>
      <c r="O291" s="167">
        <v>2400.0</v>
      </c>
      <c r="P291" s="170"/>
      <c r="Q291" s="171"/>
      <c r="R291" s="164" t="s">
        <v>15</v>
      </c>
      <c r="S291" s="172"/>
      <c r="T291" s="8"/>
      <c r="U291" s="8"/>
      <c r="V291" s="8"/>
      <c r="W291" s="8"/>
      <c r="X291" s="8"/>
      <c r="Y291" s="8"/>
      <c r="Z291" s="8"/>
    </row>
    <row r="292" ht="22.5" customHeight="1">
      <c r="A292" s="9" t="str">
        <f t="shared" si="1"/>
        <v>LEA-0291</v>
      </c>
      <c r="B292" s="165">
        <v>46018.0</v>
      </c>
      <c r="C292" s="163" t="s">
        <v>39</v>
      </c>
      <c r="D292" s="166" t="s">
        <v>62</v>
      </c>
      <c r="E292" s="167" t="s">
        <v>554</v>
      </c>
      <c r="F292" s="167">
        <v>9.880662803E9</v>
      </c>
      <c r="G292" s="168"/>
      <c r="H292" s="168"/>
      <c r="I292" s="167" t="s">
        <v>283</v>
      </c>
      <c r="J292" s="59" t="s">
        <v>283</v>
      </c>
      <c r="K292" s="155" t="s">
        <v>77</v>
      </c>
      <c r="L292" s="167">
        <v>1.5</v>
      </c>
      <c r="M292" s="163" t="s">
        <v>16</v>
      </c>
      <c r="N292" s="169">
        <v>7.0</v>
      </c>
      <c r="O292" s="167">
        <v>900.0</v>
      </c>
      <c r="P292" s="170"/>
      <c r="Q292" s="171"/>
      <c r="R292" s="164" t="s">
        <v>15</v>
      </c>
      <c r="S292" s="172"/>
      <c r="T292" s="8"/>
      <c r="U292" s="8"/>
      <c r="V292" s="8"/>
      <c r="W292" s="8"/>
      <c r="X292" s="8"/>
      <c r="Y292" s="8"/>
      <c r="Z292" s="8"/>
    </row>
    <row r="293" ht="22.5" customHeight="1">
      <c r="A293" s="9" t="str">
        <f t="shared" si="1"/>
        <v>LEA-0292</v>
      </c>
      <c r="B293" s="165">
        <v>46018.0</v>
      </c>
      <c r="C293" s="163" t="s">
        <v>39</v>
      </c>
      <c r="D293" s="166" t="s">
        <v>62</v>
      </c>
      <c r="E293" s="167" t="s">
        <v>193</v>
      </c>
      <c r="F293" s="167">
        <v>8.867479565E9</v>
      </c>
      <c r="G293" s="168"/>
      <c r="H293" s="168"/>
      <c r="I293" s="167" t="s">
        <v>393</v>
      </c>
      <c r="J293" s="59" t="s">
        <v>77</v>
      </c>
      <c r="K293" s="155" t="s">
        <v>77</v>
      </c>
      <c r="L293" s="167">
        <v>2.0</v>
      </c>
      <c r="M293" s="163" t="s">
        <v>16</v>
      </c>
      <c r="N293" s="169">
        <v>7.0</v>
      </c>
      <c r="O293" s="167">
        <v>1200.0</v>
      </c>
      <c r="P293" s="170"/>
      <c r="Q293" s="171"/>
      <c r="R293" s="164" t="s">
        <v>15</v>
      </c>
      <c r="S293" s="172"/>
      <c r="T293" s="8"/>
      <c r="U293" s="8"/>
      <c r="V293" s="8"/>
      <c r="W293" s="8"/>
      <c r="X293" s="8"/>
      <c r="Y293" s="8"/>
      <c r="Z293" s="8"/>
    </row>
    <row r="294" ht="22.5" customHeight="1">
      <c r="A294" s="9" t="str">
        <f t="shared" si="1"/>
        <v>LEA-0293</v>
      </c>
      <c r="B294" s="165">
        <v>46020.0</v>
      </c>
      <c r="C294" s="166" t="s">
        <v>39</v>
      </c>
      <c r="D294" s="166" t="s">
        <v>62</v>
      </c>
      <c r="E294" s="167" t="s">
        <v>555</v>
      </c>
      <c r="F294" s="167">
        <v>7.02287904E8</v>
      </c>
      <c r="G294" s="168"/>
      <c r="H294" s="168"/>
      <c r="I294" s="167" t="s">
        <v>556</v>
      </c>
      <c r="J294" s="59" t="s">
        <v>454</v>
      </c>
      <c r="K294" s="155" t="s">
        <v>77</v>
      </c>
      <c r="L294" s="167">
        <v>1.8</v>
      </c>
      <c r="M294" s="166" t="s">
        <v>16</v>
      </c>
      <c r="N294" s="169">
        <v>4.0</v>
      </c>
      <c r="O294" s="167">
        <v>1100.0</v>
      </c>
      <c r="P294" s="170"/>
      <c r="Q294" s="171"/>
      <c r="R294" s="173" t="s">
        <v>15</v>
      </c>
      <c r="S294" s="172"/>
      <c r="T294" s="8"/>
      <c r="U294" s="8"/>
      <c r="V294" s="8"/>
      <c r="W294" s="8"/>
      <c r="X294" s="8"/>
      <c r="Y294" s="8"/>
      <c r="Z294" s="8"/>
    </row>
    <row r="295" ht="22.5" customHeight="1">
      <c r="A295" s="9" t="str">
        <f t="shared" si="1"/>
        <v>LEA-0294</v>
      </c>
      <c r="B295" s="165">
        <v>46020.0</v>
      </c>
      <c r="C295" s="166" t="s">
        <v>39</v>
      </c>
      <c r="D295" s="166" t="s">
        <v>62</v>
      </c>
      <c r="E295" s="167" t="s">
        <v>557</v>
      </c>
      <c r="F295" s="167">
        <v>9.591940214E9</v>
      </c>
      <c r="G295" s="168"/>
      <c r="H295" s="168"/>
      <c r="I295" s="167" t="s">
        <v>558</v>
      </c>
      <c r="J295" s="59" t="s">
        <v>308</v>
      </c>
      <c r="K295" s="155" t="s">
        <v>77</v>
      </c>
      <c r="L295" s="167">
        <v>6.0</v>
      </c>
      <c r="M295" s="166" t="s">
        <v>16</v>
      </c>
      <c r="N295" s="169">
        <v>55.0</v>
      </c>
      <c r="O295" s="167">
        <v>3600.0</v>
      </c>
      <c r="P295" s="170"/>
      <c r="Q295" s="171"/>
      <c r="R295" s="173" t="s">
        <v>15</v>
      </c>
      <c r="S295" s="172"/>
      <c r="T295" s="8"/>
      <c r="U295" s="8"/>
      <c r="V295" s="8"/>
      <c r="W295" s="8"/>
      <c r="X295" s="8"/>
      <c r="Y295" s="8"/>
      <c r="Z295" s="8"/>
    </row>
    <row r="296" ht="22.5" customHeight="1">
      <c r="A296" s="9" t="str">
        <f t="shared" si="1"/>
        <v>LEA-0295</v>
      </c>
      <c r="B296" s="165">
        <v>46020.0</v>
      </c>
      <c r="C296" s="166" t="s">
        <v>39</v>
      </c>
      <c r="D296" s="166" t="s">
        <v>62</v>
      </c>
      <c r="E296" s="167" t="s">
        <v>559</v>
      </c>
      <c r="F296" s="167">
        <v>9.449455173E9</v>
      </c>
      <c r="G296" s="168"/>
      <c r="H296" s="168"/>
      <c r="I296" s="167" t="s">
        <v>560</v>
      </c>
      <c r="J296" s="59" t="s">
        <v>308</v>
      </c>
      <c r="K296" s="155" t="s">
        <v>77</v>
      </c>
      <c r="L296" s="167">
        <v>10.0</v>
      </c>
      <c r="M296" s="166" t="s">
        <v>16</v>
      </c>
      <c r="N296" s="169">
        <v>15.0</v>
      </c>
      <c r="O296" s="167">
        <v>6000.0</v>
      </c>
      <c r="P296" s="170"/>
      <c r="Q296" s="171"/>
      <c r="R296" s="173" t="s">
        <v>15</v>
      </c>
      <c r="S296" s="172"/>
      <c r="T296" s="8"/>
      <c r="U296" s="8"/>
      <c r="V296" s="8"/>
      <c r="W296" s="8"/>
      <c r="X296" s="8"/>
      <c r="Y296" s="8"/>
      <c r="Z296" s="8"/>
    </row>
    <row r="297" ht="22.5" customHeight="1">
      <c r="A297" s="9" t="str">
        <f t="shared" si="1"/>
        <v>LEA-0296</v>
      </c>
      <c r="B297" s="165">
        <v>46020.0</v>
      </c>
      <c r="C297" s="166" t="s">
        <v>39</v>
      </c>
      <c r="D297" s="166" t="s">
        <v>62</v>
      </c>
      <c r="E297" s="167" t="s">
        <v>193</v>
      </c>
      <c r="F297" s="167">
        <v>6.360528128E9</v>
      </c>
      <c r="G297" s="168"/>
      <c r="H297" s="168"/>
      <c r="I297" s="167" t="s">
        <v>558</v>
      </c>
      <c r="J297" s="59" t="s">
        <v>308</v>
      </c>
      <c r="K297" s="155" t="s">
        <v>77</v>
      </c>
      <c r="L297" s="167">
        <v>4.0</v>
      </c>
      <c r="M297" s="166" t="s">
        <v>16</v>
      </c>
      <c r="N297" s="169">
        <v>20.0</v>
      </c>
      <c r="O297" s="167">
        <v>2400.0</v>
      </c>
      <c r="P297" s="170"/>
      <c r="Q297" s="171"/>
      <c r="R297" s="173" t="s">
        <v>15</v>
      </c>
      <c r="S297" s="172"/>
      <c r="T297" s="8"/>
      <c r="U297" s="8"/>
      <c r="V297" s="8"/>
      <c r="W297" s="8"/>
      <c r="X297" s="8"/>
      <c r="Y297" s="8"/>
      <c r="Z297" s="8"/>
    </row>
    <row r="298" ht="22.5" customHeight="1">
      <c r="A298" s="9" t="str">
        <f t="shared" si="1"/>
        <v>LEA-0297</v>
      </c>
      <c r="B298" s="165">
        <v>46020.0</v>
      </c>
      <c r="C298" s="166" t="s">
        <v>39</v>
      </c>
      <c r="D298" s="166" t="s">
        <v>62</v>
      </c>
      <c r="E298" s="167" t="s">
        <v>131</v>
      </c>
      <c r="F298" s="167">
        <v>8.277083395E9</v>
      </c>
      <c r="G298" s="168"/>
      <c r="H298" s="168"/>
      <c r="I298" s="167" t="s">
        <v>560</v>
      </c>
      <c r="J298" s="59" t="s">
        <v>308</v>
      </c>
      <c r="K298" s="155" t="s">
        <v>77</v>
      </c>
      <c r="L298" s="167">
        <v>5.0</v>
      </c>
      <c r="M298" s="166" t="s">
        <v>16</v>
      </c>
      <c r="N298" s="169">
        <v>15.0</v>
      </c>
      <c r="O298" s="167">
        <v>3000.0</v>
      </c>
      <c r="P298" s="170"/>
      <c r="Q298" s="171"/>
      <c r="R298" s="173" t="s">
        <v>15</v>
      </c>
      <c r="S298" s="172"/>
      <c r="T298" s="8"/>
      <c r="U298" s="8"/>
      <c r="V298" s="8"/>
      <c r="W298" s="8"/>
      <c r="X298" s="8"/>
      <c r="Y298" s="8"/>
      <c r="Z298" s="8"/>
    </row>
    <row r="299" ht="22.5" customHeight="1">
      <c r="A299" s="9" t="str">
        <f t="shared" si="1"/>
        <v>LEA-0298</v>
      </c>
      <c r="B299" s="165">
        <v>46020.0</v>
      </c>
      <c r="C299" s="166" t="s">
        <v>39</v>
      </c>
      <c r="D299" s="166" t="s">
        <v>62</v>
      </c>
      <c r="E299" s="167" t="s">
        <v>561</v>
      </c>
      <c r="F299" s="167">
        <v>9.480593532E9</v>
      </c>
      <c r="G299" s="168"/>
      <c r="H299" s="168"/>
      <c r="I299" s="167" t="s">
        <v>560</v>
      </c>
      <c r="J299" s="59" t="s">
        <v>308</v>
      </c>
      <c r="K299" s="155" t="s">
        <v>77</v>
      </c>
      <c r="L299" s="167">
        <v>6.0</v>
      </c>
      <c r="M299" s="166" t="s">
        <v>16</v>
      </c>
      <c r="N299" s="169">
        <v>12.0</v>
      </c>
      <c r="O299" s="167">
        <v>3600.0</v>
      </c>
      <c r="P299" s="170"/>
      <c r="Q299" s="171"/>
      <c r="R299" s="173" t="s">
        <v>15</v>
      </c>
      <c r="S299" s="172"/>
      <c r="T299" s="8"/>
      <c r="U299" s="8"/>
      <c r="V299" s="8"/>
      <c r="W299" s="8"/>
      <c r="X299" s="8"/>
      <c r="Y299" s="8"/>
      <c r="Z299" s="8"/>
    </row>
    <row r="300" ht="22.5" customHeight="1">
      <c r="A300" s="9" t="str">
        <f t="shared" si="1"/>
        <v>LEA-0299</v>
      </c>
      <c r="B300" s="165">
        <v>46020.0</v>
      </c>
      <c r="C300" s="166" t="s">
        <v>39</v>
      </c>
      <c r="D300" s="166" t="s">
        <v>62</v>
      </c>
      <c r="E300" s="167" t="s">
        <v>562</v>
      </c>
      <c r="F300" s="167">
        <v>9.590187661E9</v>
      </c>
      <c r="G300" s="168"/>
      <c r="H300" s="168"/>
      <c r="I300" s="167" t="s">
        <v>560</v>
      </c>
      <c r="J300" s="59" t="s">
        <v>308</v>
      </c>
      <c r="K300" s="155" t="s">
        <v>77</v>
      </c>
      <c r="L300" s="167">
        <v>8.0</v>
      </c>
      <c r="M300" s="166" t="s">
        <v>16</v>
      </c>
      <c r="N300" s="169">
        <v>15.0</v>
      </c>
      <c r="O300" s="167">
        <v>4800.0</v>
      </c>
      <c r="P300" s="170"/>
      <c r="Q300" s="171"/>
      <c r="R300" s="173" t="s">
        <v>15</v>
      </c>
      <c r="S300" s="172"/>
      <c r="T300" s="8"/>
      <c r="U300" s="8"/>
      <c r="V300" s="8"/>
      <c r="W300" s="8"/>
      <c r="X300" s="8"/>
      <c r="Y300" s="8"/>
      <c r="Z300" s="8"/>
    </row>
    <row r="301" ht="22.5" customHeight="1">
      <c r="A301" s="9" t="str">
        <f t="shared" si="1"/>
        <v>LEA-0300</v>
      </c>
      <c r="B301" s="165">
        <v>46020.0</v>
      </c>
      <c r="C301" s="166" t="s">
        <v>39</v>
      </c>
      <c r="D301" s="166" t="s">
        <v>62</v>
      </c>
      <c r="E301" s="167" t="s">
        <v>372</v>
      </c>
      <c r="F301" s="167">
        <v>9.036326629E9</v>
      </c>
      <c r="G301" s="168"/>
      <c r="H301" s="168"/>
      <c r="I301" s="167" t="s">
        <v>219</v>
      </c>
      <c r="J301" s="59" t="s">
        <v>454</v>
      </c>
      <c r="K301" s="155" t="s">
        <v>77</v>
      </c>
      <c r="L301" s="167">
        <v>3.0</v>
      </c>
      <c r="M301" s="166" t="s">
        <v>16</v>
      </c>
      <c r="N301" s="169">
        <v>10.0</v>
      </c>
      <c r="O301" s="167">
        <v>1800.0</v>
      </c>
      <c r="P301" s="170"/>
      <c r="Q301" s="171"/>
      <c r="R301" s="173" t="s">
        <v>15</v>
      </c>
      <c r="S301" s="172"/>
      <c r="T301" s="8"/>
      <c r="U301" s="8"/>
      <c r="V301" s="8"/>
      <c r="W301" s="8"/>
      <c r="X301" s="8"/>
      <c r="Y301" s="8"/>
      <c r="Z301" s="8"/>
    </row>
    <row r="302" ht="22.5" customHeight="1">
      <c r="A302" s="9" t="str">
        <f t="shared" si="1"/>
        <v>LEA-0301</v>
      </c>
      <c r="B302" s="165">
        <v>46020.0</v>
      </c>
      <c r="C302" s="166" t="s">
        <v>39</v>
      </c>
      <c r="D302" s="166" t="s">
        <v>62</v>
      </c>
      <c r="E302" s="167" t="s">
        <v>563</v>
      </c>
      <c r="F302" s="167">
        <v>9.663273048E9</v>
      </c>
      <c r="G302" s="174">
        <v>7.975116006E9</v>
      </c>
      <c r="H302" s="168"/>
      <c r="I302" s="167" t="s">
        <v>219</v>
      </c>
      <c r="J302" s="59" t="s">
        <v>454</v>
      </c>
      <c r="K302" s="155" t="s">
        <v>77</v>
      </c>
      <c r="L302" s="167">
        <v>5.0</v>
      </c>
      <c r="M302" s="166" t="s">
        <v>16</v>
      </c>
      <c r="N302" s="169">
        <v>15.0</v>
      </c>
      <c r="O302" s="167">
        <v>3000.0</v>
      </c>
      <c r="P302" s="170"/>
      <c r="Q302" s="171"/>
      <c r="R302" s="173" t="s">
        <v>15</v>
      </c>
      <c r="S302" s="172"/>
      <c r="T302" s="8"/>
      <c r="U302" s="8"/>
      <c r="V302" s="8"/>
      <c r="W302" s="8"/>
      <c r="X302" s="8"/>
      <c r="Y302" s="8"/>
      <c r="Z302" s="8"/>
    </row>
    <row r="303" ht="22.5" customHeight="1">
      <c r="A303" s="9" t="str">
        <f t="shared" si="1"/>
        <v>LEA-0302</v>
      </c>
      <c r="B303" s="165">
        <v>46020.0</v>
      </c>
      <c r="C303" s="166" t="s">
        <v>39</v>
      </c>
      <c r="D303" s="166" t="s">
        <v>62</v>
      </c>
      <c r="E303" s="167" t="s">
        <v>564</v>
      </c>
      <c r="F303" s="167">
        <v>9.449778809E9</v>
      </c>
      <c r="G303" s="168"/>
      <c r="H303" s="168"/>
      <c r="I303" s="167" t="s">
        <v>560</v>
      </c>
      <c r="J303" s="59" t="s">
        <v>308</v>
      </c>
      <c r="K303" s="155" t="s">
        <v>77</v>
      </c>
      <c r="L303" s="167">
        <v>6.0</v>
      </c>
      <c r="M303" s="166" t="s">
        <v>16</v>
      </c>
      <c r="N303" s="169">
        <v>15.0</v>
      </c>
      <c r="O303" s="167">
        <v>3600.0</v>
      </c>
      <c r="P303" s="170"/>
      <c r="Q303" s="171"/>
      <c r="R303" s="173" t="s">
        <v>15</v>
      </c>
      <c r="S303" s="172"/>
      <c r="T303" s="8"/>
      <c r="U303" s="8"/>
      <c r="V303" s="8"/>
      <c r="W303" s="8"/>
      <c r="X303" s="8"/>
      <c r="Y303" s="8"/>
      <c r="Z303" s="8"/>
    </row>
    <row r="304" ht="22.5" customHeight="1">
      <c r="A304" s="9" t="str">
        <f t="shared" si="1"/>
        <v>LEA-0303</v>
      </c>
      <c r="B304" s="165">
        <v>46021.0</v>
      </c>
      <c r="C304" s="166" t="s">
        <v>39</v>
      </c>
      <c r="D304" s="166" t="s">
        <v>62</v>
      </c>
      <c r="E304" s="167" t="s">
        <v>565</v>
      </c>
      <c r="F304" s="167">
        <v>8.971930879E9</v>
      </c>
      <c r="G304" s="168"/>
      <c r="H304" s="168"/>
      <c r="I304" s="167" t="s">
        <v>566</v>
      </c>
      <c r="J304" s="59" t="s">
        <v>308</v>
      </c>
      <c r="K304" s="155" t="s">
        <v>77</v>
      </c>
      <c r="L304" s="167">
        <v>10.0</v>
      </c>
      <c r="M304" s="166" t="s">
        <v>16</v>
      </c>
      <c r="N304" s="169">
        <v>10.0</v>
      </c>
      <c r="O304" s="167">
        <v>6000.0</v>
      </c>
      <c r="P304" s="170"/>
      <c r="Q304" s="171"/>
      <c r="R304" s="173" t="s">
        <v>15</v>
      </c>
      <c r="S304" s="172"/>
      <c r="T304" s="8"/>
      <c r="U304" s="8"/>
      <c r="V304" s="8"/>
      <c r="W304" s="8"/>
      <c r="X304" s="8"/>
      <c r="Y304" s="8"/>
      <c r="Z304" s="8"/>
    </row>
    <row r="305" ht="22.5" customHeight="1">
      <c r="A305" s="9" t="str">
        <f t="shared" si="1"/>
        <v>LEA-0304</v>
      </c>
      <c r="B305" s="165">
        <v>46021.0</v>
      </c>
      <c r="C305" s="166" t="s">
        <v>39</v>
      </c>
      <c r="D305" s="166" t="s">
        <v>62</v>
      </c>
      <c r="E305" s="167" t="s">
        <v>177</v>
      </c>
      <c r="F305" s="167">
        <v>8.217835292E9</v>
      </c>
      <c r="G305" s="168"/>
      <c r="H305" s="168"/>
      <c r="I305" s="167" t="s">
        <v>566</v>
      </c>
      <c r="J305" s="59" t="s">
        <v>308</v>
      </c>
      <c r="K305" s="155" t="s">
        <v>77</v>
      </c>
      <c r="L305" s="167">
        <v>3.0</v>
      </c>
      <c r="M305" s="166" t="s">
        <v>16</v>
      </c>
      <c r="N305" s="169">
        <v>7.0</v>
      </c>
      <c r="O305" s="167">
        <v>1800.0</v>
      </c>
      <c r="P305" s="170"/>
      <c r="Q305" s="171"/>
      <c r="R305" s="173" t="s">
        <v>15</v>
      </c>
      <c r="S305" s="172"/>
      <c r="T305" s="8"/>
      <c r="U305" s="8"/>
      <c r="V305" s="8"/>
      <c r="W305" s="8"/>
      <c r="X305" s="8"/>
      <c r="Y305" s="8"/>
      <c r="Z305" s="8"/>
    </row>
    <row r="306" ht="22.5" customHeight="1">
      <c r="A306" s="9" t="str">
        <f t="shared" si="1"/>
        <v>LEA-0305</v>
      </c>
      <c r="B306" s="165">
        <v>46021.0</v>
      </c>
      <c r="C306" s="166" t="s">
        <v>39</v>
      </c>
      <c r="D306" s="166" t="s">
        <v>62</v>
      </c>
      <c r="E306" s="167" t="s">
        <v>567</v>
      </c>
      <c r="F306" s="167">
        <v>9.449100107E9</v>
      </c>
      <c r="G306" s="174">
        <v>9.482520514E9</v>
      </c>
      <c r="H306" s="168"/>
      <c r="I306" s="167"/>
      <c r="J306" s="59" t="s">
        <v>308</v>
      </c>
      <c r="K306" s="155" t="s">
        <v>77</v>
      </c>
      <c r="L306" s="167">
        <v>20.0</v>
      </c>
      <c r="M306" s="166" t="s">
        <v>16</v>
      </c>
      <c r="N306" s="169">
        <v>15.0</v>
      </c>
      <c r="O306" s="167">
        <v>12000.0</v>
      </c>
      <c r="P306" s="170"/>
      <c r="Q306" s="171"/>
      <c r="R306" s="173" t="s">
        <v>15</v>
      </c>
      <c r="S306" s="172"/>
      <c r="T306" s="8"/>
      <c r="U306" s="8"/>
      <c r="V306" s="8"/>
      <c r="W306" s="8"/>
      <c r="X306" s="8"/>
      <c r="Y306" s="8"/>
      <c r="Z306" s="8"/>
    </row>
    <row r="307" ht="22.5" customHeight="1">
      <c r="A307" s="9" t="str">
        <f t="shared" si="1"/>
        <v>LEA-0306</v>
      </c>
      <c r="B307" s="165">
        <v>46021.0</v>
      </c>
      <c r="C307" s="166" t="s">
        <v>39</v>
      </c>
      <c r="D307" s="166" t="s">
        <v>62</v>
      </c>
      <c r="E307" s="167" t="s">
        <v>568</v>
      </c>
      <c r="F307" s="167">
        <v>9.483217101E9</v>
      </c>
      <c r="G307" s="168"/>
      <c r="H307" s="168"/>
      <c r="I307" s="167" t="s">
        <v>566</v>
      </c>
      <c r="J307" s="59" t="s">
        <v>308</v>
      </c>
      <c r="K307" s="155" t="s">
        <v>77</v>
      </c>
      <c r="L307" s="167">
        <v>4.0</v>
      </c>
      <c r="M307" s="166" t="s">
        <v>16</v>
      </c>
      <c r="N307" s="169">
        <v>15.0</v>
      </c>
      <c r="O307" s="167">
        <v>2400.0</v>
      </c>
      <c r="P307" s="170"/>
      <c r="Q307" s="171"/>
      <c r="R307" s="173" t="s">
        <v>15</v>
      </c>
      <c r="S307" s="172"/>
      <c r="T307" s="8"/>
      <c r="U307" s="8"/>
      <c r="V307" s="8"/>
      <c r="W307" s="8"/>
      <c r="X307" s="8"/>
      <c r="Y307" s="8"/>
      <c r="Z307" s="8"/>
    </row>
    <row r="308" ht="22.5" customHeight="1">
      <c r="A308" s="9" t="str">
        <f t="shared" si="1"/>
        <v>LEA-0307</v>
      </c>
      <c r="B308" s="165">
        <v>46021.0</v>
      </c>
      <c r="C308" s="166" t="s">
        <v>39</v>
      </c>
      <c r="D308" s="166" t="s">
        <v>62</v>
      </c>
      <c r="E308" s="167" t="s">
        <v>569</v>
      </c>
      <c r="F308" s="167">
        <v>9.483003521E9</v>
      </c>
      <c r="G308" s="168"/>
      <c r="H308" s="168"/>
      <c r="I308" s="167" t="s">
        <v>566</v>
      </c>
      <c r="J308" s="59" t="s">
        <v>308</v>
      </c>
      <c r="K308" s="155" t="s">
        <v>77</v>
      </c>
      <c r="L308" s="167">
        <v>2.0</v>
      </c>
      <c r="M308" s="166" t="s">
        <v>16</v>
      </c>
      <c r="N308" s="169">
        <v>7.0</v>
      </c>
      <c r="O308" s="167">
        <v>1200.0</v>
      </c>
      <c r="P308" s="170"/>
      <c r="Q308" s="171"/>
      <c r="R308" s="173" t="s">
        <v>15</v>
      </c>
      <c r="S308" s="172"/>
      <c r="T308" s="8"/>
      <c r="U308" s="8"/>
      <c r="V308" s="8"/>
      <c r="W308" s="8"/>
      <c r="X308" s="8"/>
      <c r="Y308" s="8"/>
      <c r="Z308" s="8"/>
    </row>
    <row r="309" ht="22.5" customHeight="1">
      <c r="A309" s="9" t="str">
        <f t="shared" si="1"/>
        <v>LEA-0308</v>
      </c>
      <c r="B309" s="165">
        <v>46021.0</v>
      </c>
      <c r="C309" s="166" t="s">
        <v>39</v>
      </c>
      <c r="D309" s="166" t="s">
        <v>62</v>
      </c>
      <c r="E309" s="167" t="s">
        <v>570</v>
      </c>
      <c r="F309" s="167">
        <v>9.480595016E9</v>
      </c>
      <c r="G309" s="168"/>
      <c r="H309" s="168"/>
      <c r="I309" s="167"/>
      <c r="J309" s="59" t="s">
        <v>308</v>
      </c>
      <c r="K309" s="155" t="s">
        <v>77</v>
      </c>
      <c r="L309" s="167">
        <v>1.5</v>
      </c>
      <c r="M309" s="166" t="s">
        <v>16</v>
      </c>
      <c r="N309" s="169">
        <v>7.0</v>
      </c>
      <c r="O309" s="167">
        <v>1000.0</v>
      </c>
      <c r="P309" s="170"/>
      <c r="Q309" s="171"/>
      <c r="R309" s="173" t="s">
        <v>15</v>
      </c>
      <c r="S309" s="172"/>
      <c r="T309" s="8"/>
      <c r="U309" s="8"/>
      <c r="V309" s="8"/>
      <c r="W309" s="8"/>
      <c r="X309" s="8"/>
      <c r="Y309" s="8"/>
      <c r="Z309" s="8"/>
    </row>
    <row r="310" ht="22.5" customHeight="1">
      <c r="A310" s="9" t="str">
        <f t="shared" si="1"/>
        <v>LEA-0309</v>
      </c>
      <c r="B310" s="165">
        <v>46021.0</v>
      </c>
      <c r="C310" s="166" t="s">
        <v>39</v>
      </c>
      <c r="D310" s="166" t="s">
        <v>62</v>
      </c>
      <c r="E310" s="167" t="s">
        <v>297</v>
      </c>
      <c r="F310" s="167">
        <v>9.141162764E9</v>
      </c>
      <c r="G310" s="168"/>
      <c r="H310" s="168"/>
      <c r="I310" s="167" t="s">
        <v>571</v>
      </c>
      <c r="J310" s="59" t="s">
        <v>308</v>
      </c>
      <c r="K310" s="155" t="s">
        <v>77</v>
      </c>
      <c r="L310" s="167">
        <v>1.0</v>
      </c>
      <c r="M310" s="166" t="s">
        <v>16</v>
      </c>
      <c r="N310" s="169">
        <v>8.0</v>
      </c>
      <c r="O310" s="167">
        <v>600.0</v>
      </c>
      <c r="P310" s="170"/>
      <c r="Q310" s="171"/>
      <c r="R310" s="173" t="s">
        <v>15</v>
      </c>
      <c r="S310" s="172"/>
      <c r="T310" s="8"/>
      <c r="U310" s="8"/>
      <c r="V310" s="8"/>
      <c r="W310" s="8"/>
      <c r="X310" s="8"/>
      <c r="Y310" s="8"/>
      <c r="Z310" s="8"/>
    </row>
    <row r="311" ht="22.5" customHeight="1">
      <c r="A311" s="9" t="str">
        <f t="shared" si="1"/>
        <v>LEA-0310</v>
      </c>
      <c r="B311" s="165">
        <v>46021.0</v>
      </c>
      <c r="C311" s="166" t="s">
        <v>39</v>
      </c>
      <c r="D311" s="166" t="s">
        <v>62</v>
      </c>
      <c r="E311" s="167" t="s">
        <v>572</v>
      </c>
      <c r="F311" s="167">
        <v>9.480277612E9</v>
      </c>
      <c r="G311" s="168"/>
      <c r="H311" s="168"/>
      <c r="I311" s="167"/>
      <c r="J311" s="59" t="s">
        <v>308</v>
      </c>
      <c r="K311" s="155" t="s">
        <v>77</v>
      </c>
      <c r="L311" s="167">
        <v>6.0</v>
      </c>
      <c r="M311" s="166" t="s">
        <v>16</v>
      </c>
      <c r="N311" s="169">
        <v>15.0</v>
      </c>
      <c r="O311" s="167">
        <v>3600.0</v>
      </c>
      <c r="P311" s="170"/>
      <c r="Q311" s="171"/>
      <c r="R311" s="173" t="s">
        <v>15</v>
      </c>
      <c r="S311" s="172"/>
      <c r="T311" s="8"/>
      <c r="U311" s="8"/>
      <c r="V311" s="8"/>
      <c r="W311" s="8"/>
      <c r="X311" s="8"/>
      <c r="Y311" s="8"/>
      <c r="Z311" s="8"/>
    </row>
    <row r="312" ht="22.5" customHeight="1">
      <c r="A312" s="9" t="str">
        <f t="shared" si="1"/>
        <v>LEA-0311</v>
      </c>
      <c r="B312" s="165">
        <v>46027.0</v>
      </c>
      <c r="C312" s="166" t="s">
        <v>25</v>
      </c>
      <c r="D312" s="166" t="s">
        <v>26</v>
      </c>
      <c r="E312" s="167" t="s">
        <v>573</v>
      </c>
      <c r="F312" s="167">
        <v>9.740919288E9</v>
      </c>
      <c r="G312" s="168"/>
      <c r="H312" s="168"/>
      <c r="I312" s="167" t="s">
        <v>574</v>
      </c>
      <c r="J312" s="167" t="s">
        <v>575</v>
      </c>
      <c r="K312" s="175" t="s">
        <v>79</v>
      </c>
      <c r="L312" s="167">
        <v>5.0</v>
      </c>
      <c r="M312" s="166" t="s">
        <v>16</v>
      </c>
      <c r="N312" s="169">
        <v>16.0</v>
      </c>
      <c r="O312" s="167">
        <v>2500.0</v>
      </c>
      <c r="P312" s="170"/>
      <c r="Q312" s="171"/>
      <c r="R312" s="173" t="s">
        <v>15</v>
      </c>
      <c r="S312" s="176"/>
      <c r="T312" s="8"/>
      <c r="U312" s="8"/>
      <c r="V312" s="8"/>
      <c r="W312" s="8"/>
      <c r="X312" s="8"/>
      <c r="Y312" s="8"/>
      <c r="Z312" s="8"/>
    </row>
    <row r="313" ht="22.5" customHeight="1">
      <c r="A313" s="9" t="str">
        <f t="shared" si="1"/>
        <v>LEA-0312</v>
      </c>
      <c r="B313" s="165">
        <v>46027.0</v>
      </c>
      <c r="C313" s="166" t="s">
        <v>27</v>
      </c>
      <c r="D313" s="166" t="s">
        <v>26</v>
      </c>
      <c r="E313" s="167" t="s">
        <v>576</v>
      </c>
      <c r="F313" s="167">
        <v>8.105048303E9</v>
      </c>
      <c r="G313" s="168"/>
      <c r="H313" s="168"/>
      <c r="I313" s="167" t="s">
        <v>577</v>
      </c>
      <c r="J313" s="167" t="s">
        <v>577</v>
      </c>
      <c r="K313" s="175" t="s">
        <v>81</v>
      </c>
      <c r="L313" s="167">
        <v>6.0</v>
      </c>
      <c r="M313" s="166" t="s">
        <v>16</v>
      </c>
      <c r="N313" s="169">
        <v>15.0</v>
      </c>
      <c r="O313" s="167">
        <v>3000.0</v>
      </c>
      <c r="P313" s="170"/>
      <c r="Q313" s="171"/>
      <c r="R313" s="173" t="s">
        <v>15</v>
      </c>
      <c r="S313" s="176"/>
      <c r="T313" s="8"/>
      <c r="U313" s="8"/>
      <c r="V313" s="8"/>
      <c r="W313" s="8"/>
      <c r="X313" s="8"/>
      <c r="Y313" s="8"/>
      <c r="Z313" s="8"/>
    </row>
    <row r="314" ht="22.5" customHeight="1">
      <c r="A314" s="9" t="str">
        <f t="shared" si="1"/>
        <v>LEA-0313</v>
      </c>
      <c r="B314" s="165">
        <v>46029.0</v>
      </c>
      <c r="C314" s="166" t="s">
        <v>25</v>
      </c>
      <c r="D314" s="166" t="s">
        <v>47</v>
      </c>
      <c r="E314" s="167" t="s">
        <v>578</v>
      </c>
      <c r="F314" s="167">
        <v>9.741159943E9</v>
      </c>
      <c r="G314" s="168"/>
      <c r="H314" s="168"/>
      <c r="I314" s="167" t="s">
        <v>579</v>
      </c>
      <c r="J314" s="167" t="s">
        <v>230</v>
      </c>
      <c r="K314" s="175" t="s">
        <v>79</v>
      </c>
      <c r="L314" s="167">
        <v>19.0</v>
      </c>
      <c r="M314" s="166" t="s">
        <v>16</v>
      </c>
      <c r="N314" s="169">
        <v>12.0</v>
      </c>
      <c r="O314" s="167">
        <v>10000.0</v>
      </c>
      <c r="P314" s="170"/>
      <c r="Q314" s="171"/>
      <c r="R314" s="173" t="s">
        <v>15</v>
      </c>
      <c r="S314" s="176"/>
      <c r="T314" s="8"/>
      <c r="U314" s="8"/>
      <c r="V314" s="8"/>
      <c r="W314" s="8"/>
      <c r="X314" s="8"/>
      <c r="Y314" s="8"/>
      <c r="Z314" s="8"/>
    </row>
    <row r="315" ht="22.5" customHeight="1">
      <c r="A315" s="9" t="str">
        <f t="shared" si="1"/>
        <v>LEA-0314</v>
      </c>
      <c r="B315" s="165">
        <v>46024.0</v>
      </c>
      <c r="C315" s="166" t="s">
        <v>39</v>
      </c>
      <c r="D315" s="166" t="s">
        <v>62</v>
      </c>
      <c r="E315" s="167" t="s">
        <v>580</v>
      </c>
      <c r="F315" s="167">
        <v>9.353746909E9</v>
      </c>
      <c r="G315" s="168"/>
      <c r="H315" s="168"/>
      <c r="I315" s="177" t="s">
        <v>581</v>
      </c>
      <c r="J315" s="167" t="s">
        <v>419</v>
      </c>
      <c r="K315" s="175" t="s">
        <v>77</v>
      </c>
      <c r="L315" s="167">
        <v>10.0</v>
      </c>
      <c r="M315" s="166" t="s">
        <v>16</v>
      </c>
      <c r="N315" s="169">
        <v>7.0</v>
      </c>
      <c r="O315" s="167">
        <v>6000.0</v>
      </c>
      <c r="P315" s="170"/>
      <c r="Q315" s="171"/>
      <c r="R315" s="173" t="s">
        <v>15</v>
      </c>
      <c r="S315" s="176"/>
      <c r="T315" s="8"/>
      <c r="U315" s="8"/>
      <c r="V315" s="8"/>
      <c r="W315" s="8"/>
      <c r="X315" s="8"/>
      <c r="Y315" s="8"/>
      <c r="Z315" s="8"/>
    </row>
    <row r="316" ht="22.5" customHeight="1">
      <c r="A316" s="9" t="str">
        <f t="shared" si="1"/>
        <v>LEA-0315</v>
      </c>
      <c r="B316" s="165">
        <v>46024.0</v>
      </c>
      <c r="C316" s="166" t="s">
        <v>39</v>
      </c>
      <c r="D316" s="166" t="s">
        <v>62</v>
      </c>
      <c r="E316" s="167" t="s">
        <v>343</v>
      </c>
      <c r="F316" s="167">
        <v>7.619575243E9</v>
      </c>
      <c r="G316" s="168"/>
      <c r="H316" s="168"/>
      <c r="I316" s="178" t="s">
        <v>581</v>
      </c>
      <c r="J316" s="167" t="s">
        <v>419</v>
      </c>
      <c r="K316" s="175" t="s">
        <v>77</v>
      </c>
      <c r="L316" s="167">
        <v>3.0</v>
      </c>
      <c r="M316" s="166" t="s">
        <v>16</v>
      </c>
      <c r="N316" s="169">
        <v>10.0</v>
      </c>
      <c r="O316" s="167">
        <v>1800.0</v>
      </c>
      <c r="P316" s="170"/>
      <c r="Q316" s="171"/>
      <c r="R316" s="173" t="s">
        <v>15</v>
      </c>
      <c r="S316" s="176"/>
      <c r="T316" s="8"/>
      <c r="U316" s="8"/>
      <c r="V316" s="8"/>
      <c r="W316" s="8"/>
      <c r="X316" s="8"/>
      <c r="Y316" s="8"/>
      <c r="Z316" s="8"/>
    </row>
    <row r="317" ht="22.5" customHeight="1">
      <c r="A317" s="9" t="str">
        <f t="shared" si="1"/>
        <v>LEA-0316</v>
      </c>
      <c r="B317" s="165">
        <v>46024.0</v>
      </c>
      <c r="C317" s="166" t="s">
        <v>39</v>
      </c>
      <c r="D317" s="166" t="s">
        <v>62</v>
      </c>
      <c r="E317" s="167" t="s">
        <v>582</v>
      </c>
      <c r="F317" s="167">
        <v>9.731016848E9</v>
      </c>
      <c r="G317" s="168"/>
      <c r="H317" s="168"/>
      <c r="I317" s="177" t="s">
        <v>581</v>
      </c>
      <c r="J317" s="167" t="s">
        <v>419</v>
      </c>
      <c r="K317" s="175" t="s">
        <v>77</v>
      </c>
      <c r="L317" s="167">
        <v>4.5</v>
      </c>
      <c r="M317" s="166" t="s">
        <v>16</v>
      </c>
      <c r="N317" s="169">
        <v>35.0</v>
      </c>
      <c r="O317" s="167">
        <v>2400.0</v>
      </c>
      <c r="P317" s="170"/>
      <c r="Q317" s="171"/>
      <c r="R317" s="173" t="s">
        <v>15</v>
      </c>
      <c r="S317" s="176"/>
      <c r="T317" s="8"/>
      <c r="U317" s="8"/>
      <c r="V317" s="8"/>
      <c r="W317" s="8"/>
      <c r="X317" s="8"/>
      <c r="Y317" s="8"/>
      <c r="Z317" s="8"/>
    </row>
    <row r="318" ht="22.5" customHeight="1">
      <c r="A318" s="9" t="str">
        <f t="shared" si="1"/>
        <v>LEA-0317</v>
      </c>
      <c r="B318" s="165">
        <v>46024.0</v>
      </c>
      <c r="C318" s="166" t="s">
        <v>39</v>
      </c>
      <c r="D318" s="166" t="s">
        <v>62</v>
      </c>
      <c r="E318" s="167" t="s">
        <v>583</v>
      </c>
      <c r="F318" s="167">
        <v>9.008872072E9</v>
      </c>
      <c r="G318" s="168"/>
      <c r="H318" s="168"/>
      <c r="I318" s="178" t="s">
        <v>584</v>
      </c>
      <c r="J318" s="167" t="s">
        <v>419</v>
      </c>
      <c r="K318" s="175" t="s">
        <v>77</v>
      </c>
      <c r="L318" s="167">
        <v>2.0</v>
      </c>
      <c r="M318" s="166" t="s">
        <v>16</v>
      </c>
      <c r="N318" s="169">
        <v>8.0</v>
      </c>
      <c r="O318" s="167">
        <v>1200.0</v>
      </c>
      <c r="P318" s="170"/>
      <c r="Q318" s="171"/>
      <c r="R318" s="173" t="s">
        <v>15</v>
      </c>
      <c r="S318" s="176"/>
      <c r="T318" s="8"/>
      <c r="U318" s="8"/>
      <c r="V318" s="8"/>
      <c r="W318" s="8"/>
      <c r="X318" s="8"/>
      <c r="Y318" s="8"/>
      <c r="Z318" s="8"/>
    </row>
    <row r="319" ht="22.5" customHeight="1">
      <c r="A319" s="9" t="str">
        <f t="shared" si="1"/>
        <v>LEA-0318</v>
      </c>
      <c r="B319" s="165">
        <v>46024.0</v>
      </c>
      <c r="C319" s="166" t="s">
        <v>39</v>
      </c>
      <c r="D319" s="166" t="s">
        <v>62</v>
      </c>
      <c r="E319" s="167" t="s">
        <v>541</v>
      </c>
      <c r="F319" s="167">
        <v>7.259891128E9</v>
      </c>
      <c r="G319" s="168"/>
      <c r="H319" s="168"/>
      <c r="I319" s="177" t="s">
        <v>581</v>
      </c>
      <c r="J319" s="167" t="s">
        <v>419</v>
      </c>
      <c r="K319" s="175" t="s">
        <v>77</v>
      </c>
      <c r="L319" s="167">
        <v>5.0</v>
      </c>
      <c r="M319" s="166" t="s">
        <v>16</v>
      </c>
      <c r="N319" s="169">
        <v>9.0</v>
      </c>
      <c r="O319" s="167">
        <v>3000.0</v>
      </c>
      <c r="P319" s="170"/>
      <c r="Q319" s="171"/>
      <c r="R319" s="173" t="s">
        <v>15</v>
      </c>
      <c r="S319" s="176"/>
      <c r="T319" s="8"/>
      <c r="U319" s="8"/>
      <c r="V319" s="8"/>
      <c r="W319" s="8"/>
      <c r="X319" s="8"/>
      <c r="Y319" s="8"/>
      <c r="Z319" s="8"/>
    </row>
    <row r="320" ht="22.5" customHeight="1">
      <c r="A320" s="9" t="str">
        <f t="shared" si="1"/>
        <v>LEA-0319</v>
      </c>
      <c r="B320" s="165">
        <v>46024.0</v>
      </c>
      <c r="C320" s="166" t="s">
        <v>39</v>
      </c>
      <c r="D320" s="166" t="s">
        <v>62</v>
      </c>
      <c r="E320" s="167" t="s">
        <v>375</v>
      </c>
      <c r="F320" s="167">
        <v>9.741378438E9</v>
      </c>
      <c r="G320" s="168"/>
      <c r="H320" s="168"/>
      <c r="I320" s="178" t="s">
        <v>584</v>
      </c>
      <c r="J320" s="167" t="s">
        <v>419</v>
      </c>
      <c r="K320" s="175" t="s">
        <v>77</v>
      </c>
      <c r="L320" s="167">
        <v>2.0</v>
      </c>
      <c r="M320" s="166" t="s">
        <v>16</v>
      </c>
      <c r="N320" s="169">
        <v>8.0</v>
      </c>
      <c r="O320" s="167">
        <v>1200.0</v>
      </c>
      <c r="P320" s="170"/>
      <c r="Q320" s="171"/>
      <c r="R320" s="173" t="s">
        <v>15</v>
      </c>
      <c r="S320" s="176"/>
      <c r="T320" s="8"/>
      <c r="U320" s="8"/>
      <c r="V320" s="8"/>
      <c r="W320" s="8"/>
      <c r="X320" s="8"/>
      <c r="Y320" s="8"/>
      <c r="Z320" s="8"/>
    </row>
    <row r="321" ht="22.5" customHeight="1">
      <c r="A321" s="9" t="str">
        <f t="shared" si="1"/>
        <v>LEA-0320</v>
      </c>
      <c r="B321" s="165">
        <v>46025.0</v>
      </c>
      <c r="C321" s="166" t="s">
        <v>39</v>
      </c>
      <c r="D321" s="166" t="s">
        <v>62</v>
      </c>
      <c r="E321" s="167" t="s">
        <v>585</v>
      </c>
      <c r="F321" s="167">
        <v>9.164761007E9</v>
      </c>
      <c r="G321" s="168"/>
      <c r="H321" s="168"/>
      <c r="I321" s="177" t="s">
        <v>586</v>
      </c>
      <c r="J321" s="167" t="s">
        <v>487</v>
      </c>
      <c r="K321" s="175" t="s">
        <v>77</v>
      </c>
      <c r="L321" s="167">
        <v>20.0</v>
      </c>
      <c r="M321" s="166" t="s">
        <v>16</v>
      </c>
      <c r="N321" s="169">
        <v>35.0</v>
      </c>
      <c r="O321" s="167">
        <v>12000.0</v>
      </c>
      <c r="P321" s="170"/>
      <c r="Q321" s="171"/>
      <c r="R321" s="173" t="s">
        <v>15</v>
      </c>
      <c r="S321" s="176"/>
      <c r="T321" s="8"/>
      <c r="U321" s="8"/>
      <c r="V321" s="8"/>
      <c r="W321" s="8"/>
      <c r="X321" s="8"/>
      <c r="Y321" s="8"/>
      <c r="Z321" s="8"/>
    </row>
    <row r="322" ht="22.5" customHeight="1">
      <c r="A322" s="9" t="str">
        <f t="shared" si="1"/>
        <v>LEA-0321</v>
      </c>
      <c r="B322" s="165">
        <v>46025.0</v>
      </c>
      <c r="C322" s="166" t="s">
        <v>39</v>
      </c>
      <c r="D322" s="166" t="s">
        <v>62</v>
      </c>
      <c r="E322" s="167" t="s">
        <v>587</v>
      </c>
      <c r="F322" s="167">
        <v>9.916691941E9</v>
      </c>
      <c r="G322" s="168"/>
      <c r="H322" s="168"/>
      <c r="I322" s="178" t="s">
        <v>588</v>
      </c>
      <c r="J322" s="167" t="s">
        <v>487</v>
      </c>
      <c r="K322" s="175" t="s">
        <v>77</v>
      </c>
      <c r="L322" s="167">
        <v>7.0</v>
      </c>
      <c r="M322" s="166" t="s">
        <v>16</v>
      </c>
      <c r="N322" s="169">
        <v>65.0</v>
      </c>
      <c r="O322" s="167">
        <v>4200.0</v>
      </c>
      <c r="P322" s="170"/>
      <c r="Q322" s="171"/>
      <c r="R322" s="173" t="s">
        <v>15</v>
      </c>
      <c r="S322" s="176"/>
      <c r="T322" s="8"/>
      <c r="U322" s="8"/>
      <c r="V322" s="8"/>
      <c r="W322" s="8"/>
      <c r="X322" s="8"/>
      <c r="Y322" s="8"/>
      <c r="Z322" s="8"/>
    </row>
    <row r="323" ht="22.5" customHeight="1">
      <c r="A323" s="9" t="str">
        <f t="shared" si="1"/>
        <v>LEA-0322</v>
      </c>
      <c r="B323" s="165">
        <v>46025.0</v>
      </c>
      <c r="C323" s="166" t="s">
        <v>39</v>
      </c>
      <c r="D323" s="166" t="s">
        <v>62</v>
      </c>
      <c r="E323" s="167" t="s">
        <v>589</v>
      </c>
      <c r="F323" s="167">
        <v>9.9868862E9</v>
      </c>
      <c r="G323" s="168"/>
      <c r="H323" s="168"/>
      <c r="I323" s="177" t="s">
        <v>586</v>
      </c>
      <c r="J323" s="167" t="s">
        <v>487</v>
      </c>
      <c r="K323" s="175" t="s">
        <v>77</v>
      </c>
      <c r="L323" s="167">
        <v>8.0</v>
      </c>
      <c r="M323" s="166" t="s">
        <v>16</v>
      </c>
      <c r="N323" s="169">
        <v>8.0</v>
      </c>
      <c r="O323" s="167">
        <v>4800.0</v>
      </c>
      <c r="P323" s="170"/>
      <c r="Q323" s="171"/>
      <c r="R323" s="173" t="s">
        <v>15</v>
      </c>
      <c r="S323" s="176"/>
      <c r="T323" s="8"/>
      <c r="U323" s="8"/>
      <c r="V323" s="8"/>
      <c r="W323" s="8"/>
      <c r="X323" s="8"/>
      <c r="Y323" s="8"/>
      <c r="Z323" s="8"/>
    </row>
    <row r="324" ht="22.5" customHeight="1">
      <c r="A324" s="9" t="str">
        <f t="shared" si="1"/>
        <v>LEA-0323</v>
      </c>
      <c r="B324" s="165">
        <v>46025.0</v>
      </c>
      <c r="C324" s="166" t="s">
        <v>39</v>
      </c>
      <c r="D324" s="166" t="s">
        <v>62</v>
      </c>
      <c r="E324" s="167" t="s">
        <v>590</v>
      </c>
      <c r="F324" s="167">
        <v>7.353382889E9</v>
      </c>
      <c r="G324" s="168"/>
      <c r="H324" s="168"/>
      <c r="I324" s="179" t="s">
        <v>586</v>
      </c>
      <c r="J324" s="167" t="s">
        <v>487</v>
      </c>
      <c r="K324" s="175" t="s">
        <v>77</v>
      </c>
      <c r="L324" s="167">
        <v>3.5</v>
      </c>
      <c r="M324" s="166" t="s">
        <v>16</v>
      </c>
      <c r="N324" s="169">
        <v>7.0</v>
      </c>
      <c r="O324" s="167">
        <v>2100.0</v>
      </c>
      <c r="P324" s="170"/>
      <c r="Q324" s="171"/>
      <c r="R324" s="173" t="s">
        <v>15</v>
      </c>
      <c r="S324" s="176"/>
      <c r="T324" s="8"/>
      <c r="U324" s="8"/>
      <c r="V324" s="8"/>
      <c r="W324" s="8"/>
      <c r="X324" s="8"/>
      <c r="Y324" s="8"/>
      <c r="Z324" s="8"/>
    </row>
    <row r="325" ht="22.5" customHeight="1">
      <c r="A325" s="9" t="str">
        <f t="shared" si="1"/>
        <v>LEA-0324</v>
      </c>
      <c r="B325" s="165">
        <v>46025.0</v>
      </c>
      <c r="C325" s="166" t="s">
        <v>39</v>
      </c>
      <c r="D325" s="166" t="s">
        <v>62</v>
      </c>
      <c r="E325" s="167" t="s">
        <v>591</v>
      </c>
      <c r="F325" s="167">
        <v>8.97080235E9</v>
      </c>
      <c r="G325" s="168"/>
      <c r="H325" s="168"/>
      <c r="I325" s="179" t="s">
        <v>586</v>
      </c>
      <c r="J325" s="167" t="s">
        <v>487</v>
      </c>
      <c r="K325" s="175" t="s">
        <v>77</v>
      </c>
      <c r="L325" s="167">
        <v>2.0</v>
      </c>
      <c r="M325" s="166" t="s">
        <v>16</v>
      </c>
      <c r="N325" s="169">
        <v>8.0</v>
      </c>
      <c r="O325" s="167">
        <v>1200.0</v>
      </c>
      <c r="P325" s="170"/>
      <c r="Q325" s="171"/>
      <c r="R325" s="173" t="s">
        <v>15</v>
      </c>
      <c r="S325" s="176"/>
      <c r="T325" s="8"/>
      <c r="U325" s="8"/>
      <c r="V325" s="8"/>
      <c r="W325" s="8"/>
      <c r="X325" s="8"/>
      <c r="Y325" s="8"/>
      <c r="Z325" s="8"/>
    </row>
    <row r="326" ht="22.5" customHeight="1">
      <c r="A326" s="9" t="str">
        <f t="shared" si="1"/>
        <v>LEA-0325</v>
      </c>
      <c r="B326" s="165">
        <v>46025.0</v>
      </c>
      <c r="C326" s="166" t="s">
        <v>39</v>
      </c>
      <c r="D326" s="166" t="s">
        <v>62</v>
      </c>
      <c r="E326" s="167" t="s">
        <v>592</v>
      </c>
      <c r="F326" s="167">
        <v>9.980913106E9</v>
      </c>
      <c r="G326" s="168"/>
      <c r="H326" s="168"/>
      <c r="I326" s="179" t="s">
        <v>586</v>
      </c>
      <c r="J326" s="167" t="s">
        <v>487</v>
      </c>
      <c r="K326" s="175" t="s">
        <v>77</v>
      </c>
      <c r="L326" s="167">
        <v>2.0</v>
      </c>
      <c r="M326" s="166" t="s">
        <v>16</v>
      </c>
      <c r="N326" s="169">
        <v>14.0</v>
      </c>
      <c r="O326" s="167">
        <v>1200.0</v>
      </c>
      <c r="P326" s="170"/>
      <c r="Q326" s="171"/>
      <c r="R326" s="173" t="s">
        <v>15</v>
      </c>
      <c r="S326" s="176"/>
      <c r="T326" s="8"/>
      <c r="U326" s="8"/>
      <c r="V326" s="8"/>
      <c r="W326" s="8"/>
      <c r="X326" s="8"/>
      <c r="Y326" s="8"/>
      <c r="Z326" s="8"/>
    </row>
    <row r="327" ht="22.5" customHeight="1">
      <c r="A327" s="9" t="str">
        <f t="shared" si="1"/>
        <v>LEA-0326</v>
      </c>
      <c r="B327" s="165">
        <v>46025.0</v>
      </c>
      <c r="C327" s="166" t="s">
        <v>39</v>
      </c>
      <c r="D327" s="166" t="s">
        <v>62</v>
      </c>
      <c r="E327" s="167" t="s">
        <v>593</v>
      </c>
      <c r="F327" s="167">
        <v>9.980253591E9</v>
      </c>
      <c r="G327" s="168"/>
      <c r="H327" s="168"/>
      <c r="I327" s="180" t="s">
        <v>588</v>
      </c>
      <c r="J327" s="167" t="s">
        <v>487</v>
      </c>
      <c r="K327" s="175" t="s">
        <v>77</v>
      </c>
      <c r="L327" s="167">
        <v>2.0</v>
      </c>
      <c r="M327" s="166" t="s">
        <v>16</v>
      </c>
      <c r="N327" s="169">
        <v>10.0</v>
      </c>
      <c r="O327" s="167">
        <v>1200.0</v>
      </c>
      <c r="P327" s="170"/>
      <c r="Q327" s="171"/>
      <c r="R327" s="173" t="s">
        <v>15</v>
      </c>
      <c r="S327" s="176"/>
      <c r="T327" s="8"/>
      <c r="U327" s="8"/>
      <c r="V327" s="8"/>
      <c r="W327" s="8"/>
      <c r="X327" s="8"/>
      <c r="Y327" s="8"/>
      <c r="Z327" s="8"/>
    </row>
    <row r="328" ht="22.5" customHeight="1">
      <c r="A328" s="9" t="str">
        <f t="shared" si="1"/>
        <v>LEA-0327</v>
      </c>
      <c r="B328" s="165">
        <v>46025.0</v>
      </c>
      <c r="C328" s="166" t="s">
        <v>39</v>
      </c>
      <c r="D328" s="166" t="s">
        <v>62</v>
      </c>
      <c r="E328" s="167" t="s">
        <v>594</v>
      </c>
      <c r="F328" s="167">
        <v>8.970272958E9</v>
      </c>
      <c r="G328" s="168"/>
      <c r="H328" s="168"/>
      <c r="I328" s="180" t="s">
        <v>595</v>
      </c>
      <c r="J328" s="167" t="s">
        <v>487</v>
      </c>
      <c r="K328" s="175" t="s">
        <v>77</v>
      </c>
      <c r="L328" s="167">
        <v>1.0</v>
      </c>
      <c r="M328" s="166" t="s">
        <v>16</v>
      </c>
      <c r="N328" s="169">
        <v>4.0</v>
      </c>
      <c r="O328" s="167">
        <v>600.0</v>
      </c>
      <c r="P328" s="170"/>
      <c r="Q328" s="171"/>
      <c r="R328" s="173" t="s">
        <v>15</v>
      </c>
      <c r="S328" s="176"/>
      <c r="T328" s="8"/>
      <c r="U328" s="8"/>
      <c r="V328" s="8"/>
      <c r="W328" s="8"/>
      <c r="X328" s="8"/>
      <c r="Y328" s="8"/>
      <c r="Z328" s="8"/>
    </row>
    <row r="329" ht="22.5" customHeight="1">
      <c r="A329" s="9" t="str">
        <f t="shared" si="1"/>
        <v>LEA-0328</v>
      </c>
      <c r="B329" s="165">
        <v>46027.0</v>
      </c>
      <c r="C329" s="166" t="s">
        <v>39</v>
      </c>
      <c r="D329" s="166" t="s">
        <v>62</v>
      </c>
      <c r="E329" s="167" t="s">
        <v>596</v>
      </c>
      <c r="F329" s="167">
        <v>9.880241597E9</v>
      </c>
      <c r="G329" s="168"/>
      <c r="H329" s="168"/>
      <c r="I329" s="180" t="s">
        <v>597</v>
      </c>
      <c r="J329" s="167" t="s">
        <v>130</v>
      </c>
      <c r="K329" s="175" t="s">
        <v>77</v>
      </c>
      <c r="L329" s="167">
        <v>16.6</v>
      </c>
      <c r="M329" s="166" t="s">
        <v>16</v>
      </c>
      <c r="N329" s="169">
        <v>30.0</v>
      </c>
      <c r="O329" s="167">
        <v>10000.0</v>
      </c>
      <c r="P329" s="170"/>
      <c r="Q329" s="171"/>
      <c r="R329" s="173" t="s">
        <v>15</v>
      </c>
      <c r="S329" s="176"/>
      <c r="T329" s="8"/>
      <c r="U329" s="8"/>
      <c r="V329" s="8"/>
      <c r="W329" s="8"/>
      <c r="X329" s="8"/>
      <c r="Y329" s="8"/>
      <c r="Z329" s="8"/>
    </row>
    <row r="330" ht="22.5" customHeight="1">
      <c r="A330" s="9" t="str">
        <f t="shared" si="1"/>
        <v>LEA-0329</v>
      </c>
      <c r="B330" s="165">
        <v>46027.0</v>
      </c>
      <c r="C330" s="166" t="s">
        <v>39</v>
      </c>
      <c r="D330" s="166" t="s">
        <v>62</v>
      </c>
      <c r="E330" s="167" t="s">
        <v>598</v>
      </c>
      <c r="F330" s="167">
        <v>9.900255639E9</v>
      </c>
      <c r="G330" s="168"/>
      <c r="H330" s="168"/>
      <c r="I330" s="180" t="s">
        <v>597</v>
      </c>
      <c r="J330" s="167" t="s">
        <v>130</v>
      </c>
      <c r="K330" s="175" t="s">
        <v>77</v>
      </c>
      <c r="L330" s="167">
        <v>7.0</v>
      </c>
      <c r="M330" s="166" t="s">
        <v>16</v>
      </c>
      <c r="N330" s="169">
        <v>25.0</v>
      </c>
      <c r="O330" s="167">
        <v>4200.0</v>
      </c>
      <c r="P330" s="170"/>
      <c r="Q330" s="171"/>
      <c r="R330" s="173" t="s">
        <v>15</v>
      </c>
      <c r="S330" s="176"/>
      <c r="T330" s="8"/>
      <c r="U330" s="8"/>
      <c r="V330" s="8"/>
      <c r="W330" s="8"/>
      <c r="X330" s="8"/>
      <c r="Y330" s="8"/>
      <c r="Z330" s="8"/>
    </row>
    <row r="331" ht="22.5" customHeight="1">
      <c r="A331" s="9" t="str">
        <f t="shared" si="1"/>
        <v>LEA-0330</v>
      </c>
      <c r="B331" s="165">
        <v>46027.0</v>
      </c>
      <c r="C331" s="166" t="s">
        <v>39</v>
      </c>
      <c r="D331" s="166" t="s">
        <v>62</v>
      </c>
      <c r="E331" s="167" t="s">
        <v>599</v>
      </c>
      <c r="F331" s="167">
        <v>7.019314809E9</v>
      </c>
      <c r="G331" s="168"/>
      <c r="H331" s="168"/>
      <c r="I331" s="180" t="s">
        <v>600</v>
      </c>
      <c r="J331" s="167" t="s">
        <v>130</v>
      </c>
      <c r="K331" s="175" t="s">
        <v>77</v>
      </c>
      <c r="L331" s="167">
        <v>6.0</v>
      </c>
      <c r="M331" s="166" t="s">
        <v>16</v>
      </c>
      <c r="N331" s="169">
        <v>35.0</v>
      </c>
      <c r="O331" s="167">
        <v>3600.0</v>
      </c>
      <c r="P331" s="170"/>
      <c r="Q331" s="171"/>
      <c r="R331" s="173" t="s">
        <v>15</v>
      </c>
      <c r="S331" s="176"/>
      <c r="T331" s="8"/>
      <c r="U331" s="8"/>
      <c r="V331" s="8"/>
      <c r="W331" s="8"/>
      <c r="X331" s="8"/>
      <c r="Y331" s="8"/>
      <c r="Z331" s="8"/>
    </row>
    <row r="332" ht="22.5" customHeight="1">
      <c r="A332" s="9" t="str">
        <f t="shared" si="1"/>
        <v>LEA-0331</v>
      </c>
      <c r="B332" s="165">
        <v>46027.0</v>
      </c>
      <c r="C332" s="166" t="s">
        <v>39</v>
      </c>
      <c r="D332" s="166" t="s">
        <v>62</v>
      </c>
      <c r="E332" s="167" t="s">
        <v>354</v>
      </c>
      <c r="F332" s="167">
        <v>9.945752502E9</v>
      </c>
      <c r="G332" s="168"/>
      <c r="H332" s="168"/>
      <c r="I332" s="180" t="s">
        <v>600</v>
      </c>
      <c r="J332" s="167" t="s">
        <v>130</v>
      </c>
      <c r="K332" s="175" t="s">
        <v>77</v>
      </c>
      <c r="L332" s="167">
        <v>8.0</v>
      </c>
      <c r="M332" s="166" t="s">
        <v>16</v>
      </c>
      <c r="N332" s="169">
        <v>17.0</v>
      </c>
      <c r="O332" s="167">
        <v>4800.0</v>
      </c>
      <c r="P332" s="170"/>
      <c r="Q332" s="171"/>
      <c r="R332" s="173" t="s">
        <v>15</v>
      </c>
      <c r="S332" s="176"/>
      <c r="T332" s="8"/>
      <c r="U332" s="8"/>
      <c r="V332" s="8"/>
      <c r="W332" s="8"/>
      <c r="X332" s="8"/>
      <c r="Y332" s="8"/>
      <c r="Z332" s="8"/>
    </row>
    <row r="333" ht="22.5" customHeight="1">
      <c r="A333" s="9" t="str">
        <f t="shared" si="1"/>
        <v>LEA-0332</v>
      </c>
      <c r="B333" s="165">
        <v>46027.0</v>
      </c>
      <c r="C333" s="166" t="s">
        <v>39</v>
      </c>
      <c r="D333" s="166" t="s">
        <v>62</v>
      </c>
      <c r="E333" s="42" t="s">
        <v>601</v>
      </c>
      <c r="F333" s="167">
        <v>9.886664189E9</v>
      </c>
      <c r="G333" s="168"/>
      <c r="H333" s="168"/>
      <c r="I333" s="180" t="s">
        <v>602</v>
      </c>
      <c r="J333" s="167" t="s">
        <v>130</v>
      </c>
      <c r="K333" s="175" t="s">
        <v>77</v>
      </c>
      <c r="L333" s="167">
        <v>5.0</v>
      </c>
      <c r="M333" s="166" t="s">
        <v>16</v>
      </c>
      <c r="N333" s="169">
        <v>20.0</v>
      </c>
      <c r="O333" s="167">
        <v>3000.0</v>
      </c>
      <c r="P333" s="170"/>
      <c r="Q333" s="171"/>
      <c r="R333" s="173" t="s">
        <v>15</v>
      </c>
      <c r="S333" s="176"/>
      <c r="T333" s="8"/>
      <c r="U333" s="8"/>
      <c r="V333" s="8"/>
      <c r="W333" s="8"/>
      <c r="X333" s="8"/>
      <c r="Y333" s="8"/>
      <c r="Z333" s="8"/>
    </row>
    <row r="334" ht="22.5" customHeight="1">
      <c r="A334" s="9" t="str">
        <f t="shared" si="1"/>
        <v>LEA-0333</v>
      </c>
      <c r="B334" s="165">
        <v>46027.0</v>
      </c>
      <c r="C334" s="166" t="s">
        <v>39</v>
      </c>
      <c r="D334" s="166" t="s">
        <v>62</v>
      </c>
      <c r="E334" s="29" t="s">
        <v>603</v>
      </c>
      <c r="F334" s="167">
        <v>9.740836206E9</v>
      </c>
      <c r="G334" s="168"/>
      <c r="H334" s="168"/>
      <c r="I334" s="180" t="s">
        <v>600</v>
      </c>
      <c r="J334" s="167" t="s">
        <v>130</v>
      </c>
      <c r="K334" s="175" t="s">
        <v>77</v>
      </c>
      <c r="L334" s="167">
        <v>4.0</v>
      </c>
      <c r="M334" s="166" t="s">
        <v>16</v>
      </c>
      <c r="N334" s="169">
        <v>20.0</v>
      </c>
      <c r="O334" s="167">
        <v>2400.0</v>
      </c>
      <c r="P334" s="170"/>
      <c r="Q334" s="171"/>
      <c r="R334" s="173" t="s">
        <v>15</v>
      </c>
      <c r="S334" s="176"/>
      <c r="T334" s="8"/>
      <c r="U334" s="8"/>
      <c r="V334" s="8"/>
      <c r="W334" s="8"/>
      <c r="X334" s="8"/>
      <c r="Y334" s="8"/>
      <c r="Z334" s="8"/>
    </row>
    <row r="335" ht="22.5" customHeight="1">
      <c r="A335" s="9" t="str">
        <f t="shared" si="1"/>
        <v>LEA-0334</v>
      </c>
      <c r="B335" s="165">
        <v>46027.0</v>
      </c>
      <c r="C335" s="166" t="s">
        <v>39</v>
      </c>
      <c r="D335" s="166" t="s">
        <v>62</v>
      </c>
      <c r="E335" s="42" t="s">
        <v>604</v>
      </c>
      <c r="F335" s="167">
        <v>8.123221536E9</v>
      </c>
      <c r="G335" s="168"/>
      <c r="H335" s="168"/>
      <c r="I335" s="180" t="s">
        <v>597</v>
      </c>
      <c r="J335" s="167" t="s">
        <v>130</v>
      </c>
      <c r="K335" s="175" t="s">
        <v>77</v>
      </c>
      <c r="L335" s="167">
        <v>2.0</v>
      </c>
      <c r="M335" s="166" t="s">
        <v>16</v>
      </c>
      <c r="N335" s="169">
        <v>18.0</v>
      </c>
      <c r="O335" s="167">
        <v>1200.0</v>
      </c>
      <c r="P335" s="170"/>
      <c r="Q335" s="171"/>
      <c r="R335" s="173" t="s">
        <v>15</v>
      </c>
      <c r="S335" s="176"/>
      <c r="T335" s="8"/>
      <c r="U335" s="8"/>
      <c r="V335" s="8"/>
      <c r="W335" s="8"/>
      <c r="X335" s="8"/>
      <c r="Y335" s="8"/>
      <c r="Z335" s="8"/>
    </row>
    <row r="336" ht="22.5" customHeight="1">
      <c r="A336" s="9" t="str">
        <f t="shared" si="1"/>
        <v>LEA-0335</v>
      </c>
      <c r="B336" s="165">
        <v>46027.0</v>
      </c>
      <c r="C336" s="166" t="s">
        <v>39</v>
      </c>
      <c r="D336" s="166" t="s">
        <v>62</v>
      </c>
      <c r="E336" s="29" t="s">
        <v>179</v>
      </c>
      <c r="F336" s="167">
        <v>9.008051272E9</v>
      </c>
      <c r="G336" s="168"/>
      <c r="H336" s="168"/>
      <c r="I336" s="180" t="s">
        <v>600</v>
      </c>
      <c r="J336" s="167" t="s">
        <v>130</v>
      </c>
      <c r="K336" s="175" t="s">
        <v>77</v>
      </c>
      <c r="L336" s="167">
        <v>3.0</v>
      </c>
      <c r="M336" s="166" t="s">
        <v>16</v>
      </c>
      <c r="N336" s="169">
        <v>50.0</v>
      </c>
      <c r="O336" s="167">
        <v>1800.0</v>
      </c>
      <c r="P336" s="170"/>
      <c r="Q336" s="171"/>
      <c r="R336" s="173" t="s">
        <v>15</v>
      </c>
      <c r="S336" s="176"/>
      <c r="T336" s="8"/>
      <c r="U336" s="8"/>
      <c r="V336" s="8"/>
      <c r="W336" s="8"/>
      <c r="X336" s="8"/>
      <c r="Y336" s="8"/>
      <c r="Z336" s="8"/>
    </row>
    <row r="337" ht="22.5" customHeight="1">
      <c r="A337" s="9" t="str">
        <f t="shared" si="1"/>
        <v>LEA-0336</v>
      </c>
      <c r="B337" s="165">
        <v>46028.0</v>
      </c>
      <c r="C337" s="166" t="s">
        <v>39</v>
      </c>
      <c r="D337" s="166" t="s">
        <v>62</v>
      </c>
      <c r="E337" s="167" t="s">
        <v>605</v>
      </c>
      <c r="F337" s="167">
        <v>9.98058872E9</v>
      </c>
      <c r="G337" s="168"/>
      <c r="H337" s="168"/>
      <c r="I337" s="180" t="s">
        <v>606</v>
      </c>
      <c r="J337" s="167" t="s">
        <v>607</v>
      </c>
      <c r="K337" s="175" t="s">
        <v>77</v>
      </c>
      <c r="L337" s="167">
        <v>8.0</v>
      </c>
      <c r="M337" s="166" t="s">
        <v>16</v>
      </c>
      <c r="N337" s="169">
        <v>30.0</v>
      </c>
      <c r="O337" s="167">
        <v>4800.0</v>
      </c>
      <c r="P337" s="170"/>
      <c r="Q337" s="171"/>
      <c r="R337" s="173" t="s">
        <v>15</v>
      </c>
      <c r="S337" s="176"/>
      <c r="T337" s="8"/>
      <c r="U337" s="8"/>
      <c r="V337" s="8"/>
      <c r="W337" s="8"/>
      <c r="X337" s="8"/>
      <c r="Y337" s="8"/>
      <c r="Z337" s="8"/>
    </row>
    <row r="338" ht="22.5" customHeight="1">
      <c r="A338" s="9" t="str">
        <f t="shared" si="1"/>
        <v>LEA-0337</v>
      </c>
      <c r="B338" s="165">
        <v>46028.0</v>
      </c>
      <c r="C338" s="166" t="s">
        <v>39</v>
      </c>
      <c r="D338" s="166" t="s">
        <v>62</v>
      </c>
      <c r="E338" s="167" t="s">
        <v>569</v>
      </c>
      <c r="F338" s="167">
        <v>9.59109969E9</v>
      </c>
      <c r="G338" s="168"/>
      <c r="H338" s="168"/>
      <c r="I338" s="180" t="s">
        <v>606</v>
      </c>
      <c r="J338" s="167" t="s">
        <v>607</v>
      </c>
      <c r="K338" s="175" t="s">
        <v>77</v>
      </c>
      <c r="L338" s="167">
        <v>2.0</v>
      </c>
      <c r="M338" s="166" t="s">
        <v>16</v>
      </c>
      <c r="N338" s="169">
        <v>4.0</v>
      </c>
      <c r="O338" s="167">
        <v>1200.0</v>
      </c>
      <c r="P338" s="170"/>
      <c r="Q338" s="171"/>
      <c r="R338" s="173" t="s">
        <v>15</v>
      </c>
      <c r="S338" s="176"/>
      <c r="T338" s="8"/>
      <c r="U338" s="8"/>
      <c r="V338" s="8"/>
      <c r="W338" s="8"/>
      <c r="X338" s="8"/>
      <c r="Y338" s="8"/>
      <c r="Z338" s="8"/>
    </row>
    <row r="339" ht="22.5" customHeight="1">
      <c r="A339" s="9" t="str">
        <f t="shared" si="1"/>
        <v>LEA-0338</v>
      </c>
      <c r="B339" s="165">
        <v>46028.0</v>
      </c>
      <c r="C339" s="166" t="s">
        <v>39</v>
      </c>
      <c r="D339" s="166" t="s">
        <v>62</v>
      </c>
      <c r="E339" s="167" t="s">
        <v>608</v>
      </c>
      <c r="F339" s="167">
        <v>9.972306451E9</v>
      </c>
      <c r="G339" s="168"/>
      <c r="H339" s="168"/>
      <c r="I339" s="180" t="s">
        <v>383</v>
      </c>
      <c r="J339" s="167" t="s">
        <v>607</v>
      </c>
      <c r="K339" s="175" t="s">
        <v>77</v>
      </c>
      <c r="L339" s="167">
        <v>5.0</v>
      </c>
      <c r="M339" s="166" t="s">
        <v>16</v>
      </c>
      <c r="N339" s="169">
        <v>14.0</v>
      </c>
      <c r="O339" s="167">
        <v>3000.0</v>
      </c>
      <c r="P339" s="170"/>
      <c r="Q339" s="171"/>
      <c r="R339" s="173" t="s">
        <v>15</v>
      </c>
      <c r="S339" s="176"/>
      <c r="T339" s="8"/>
      <c r="U339" s="8"/>
      <c r="V339" s="8"/>
      <c r="W339" s="8"/>
      <c r="X339" s="8"/>
      <c r="Y339" s="8"/>
      <c r="Z339" s="8"/>
    </row>
    <row r="340" ht="22.5" customHeight="1">
      <c r="A340" s="9" t="str">
        <f t="shared" si="1"/>
        <v>LEA-0339</v>
      </c>
      <c r="B340" s="165">
        <v>46028.0</v>
      </c>
      <c r="C340" s="166" t="s">
        <v>39</v>
      </c>
      <c r="D340" s="166" t="s">
        <v>62</v>
      </c>
      <c r="E340" s="167" t="s">
        <v>609</v>
      </c>
      <c r="F340" s="167">
        <v>9.00839079E9</v>
      </c>
      <c r="G340" s="168"/>
      <c r="H340" s="168"/>
      <c r="I340" s="181" t="s">
        <v>610</v>
      </c>
      <c r="J340" s="167" t="s">
        <v>607</v>
      </c>
      <c r="K340" s="175" t="s">
        <v>77</v>
      </c>
      <c r="L340" s="167">
        <v>7.0</v>
      </c>
      <c r="M340" s="166" t="s">
        <v>16</v>
      </c>
      <c r="N340" s="169">
        <v>8.0</v>
      </c>
      <c r="O340" s="167">
        <v>4200.0</v>
      </c>
      <c r="P340" s="170"/>
      <c r="Q340" s="171"/>
      <c r="R340" s="173" t="s">
        <v>15</v>
      </c>
      <c r="S340" s="176"/>
      <c r="T340" s="8"/>
      <c r="U340" s="8"/>
      <c r="V340" s="8"/>
      <c r="W340" s="8"/>
      <c r="X340" s="8"/>
      <c r="Y340" s="8"/>
      <c r="Z340" s="8"/>
    </row>
    <row r="341" ht="22.5" customHeight="1">
      <c r="A341" s="9" t="str">
        <f t="shared" si="1"/>
        <v>LEA-0340</v>
      </c>
      <c r="B341" s="165">
        <v>46028.0</v>
      </c>
      <c r="C341" s="166" t="s">
        <v>39</v>
      </c>
      <c r="D341" s="166" t="s">
        <v>62</v>
      </c>
      <c r="E341" s="167" t="s">
        <v>611</v>
      </c>
      <c r="F341" s="167">
        <v>9.008872304E9</v>
      </c>
      <c r="G341" s="168"/>
      <c r="H341" s="168"/>
      <c r="I341" s="181" t="s">
        <v>383</v>
      </c>
      <c r="J341" s="167" t="s">
        <v>607</v>
      </c>
      <c r="K341" s="175" t="s">
        <v>77</v>
      </c>
      <c r="L341" s="167">
        <v>3.0</v>
      </c>
      <c r="M341" s="166" t="s">
        <v>16</v>
      </c>
      <c r="N341" s="169">
        <v>6.0</v>
      </c>
      <c r="O341" s="167">
        <v>1800.0</v>
      </c>
      <c r="P341" s="170"/>
      <c r="Q341" s="171"/>
      <c r="R341" s="173" t="s">
        <v>15</v>
      </c>
      <c r="S341" s="176"/>
      <c r="T341" s="8"/>
      <c r="U341" s="8"/>
      <c r="V341" s="8"/>
      <c r="W341" s="8"/>
      <c r="X341" s="8"/>
      <c r="Y341" s="8"/>
      <c r="Z341" s="8"/>
    </row>
    <row r="342" ht="22.5" customHeight="1">
      <c r="A342" s="9" t="str">
        <f t="shared" si="1"/>
        <v>LEA-0341</v>
      </c>
      <c r="B342" s="165">
        <v>46028.0</v>
      </c>
      <c r="C342" s="166" t="s">
        <v>39</v>
      </c>
      <c r="D342" s="166" t="s">
        <v>62</v>
      </c>
      <c r="E342" s="167" t="s">
        <v>612</v>
      </c>
      <c r="F342" s="167">
        <v>9.480421023E9</v>
      </c>
      <c r="G342" s="168"/>
      <c r="H342" s="168"/>
      <c r="I342" s="181" t="s">
        <v>613</v>
      </c>
      <c r="J342" s="167" t="s">
        <v>607</v>
      </c>
      <c r="K342" s="175" t="s">
        <v>77</v>
      </c>
      <c r="L342" s="167">
        <v>2.0</v>
      </c>
      <c r="M342" s="166" t="s">
        <v>16</v>
      </c>
      <c r="N342" s="169">
        <v>7.0</v>
      </c>
      <c r="O342" s="167">
        <v>1200.0</v>
      </c>
      <c r="P342" s="170"/>
      <c r="Q342" s="171"/>
      <c r="R342" s="173" t="s">
        <v>15</v>
      </c>
      <c r="S342" s="176"/>
      <c r="T342" s="8"/>
      <c r="U342" s="8"/>
      <c r="V342" s="8"/>
      <c r="W342" s="8"/>
      <c r="X342" s="8"/>
      <c r="Y342" s="8"/>
      <c r="Z342" s="8"/>
    </row>
    <row r="343" ht="22.5" customHeight="1">
      <c r="A343" s="9" t="str">
        <f t="shared" si="1"/>
        <v>LEA-0342</v>
      </c>
      <c r="B343" s="165">
        <v>46028.0</v>
      </c>
      <c r="C343" s="166" t="s">
        <v>39</v>
      </c>
      <c r="D343" s="166" t="s">
        <v>62</v>
      </c>
      <c r="E343" s="167" t="s">
        <v>614</v>
      </c>
      <c r="F343" s="167">
        <v>9.73152673E9</v>
      </c>
      <c r="G343" s="168"/>
      <c r="H343" s="168"/>
      <c r="I343" s="181" t="s">
        <v>383</v>
      </c>
      <c r="J343" s="167" t="s">
        <v>607</v>
      </c>
      <c r="K343" s="175" t="s">
        <v>77</v>
      </c>
      <c r="L343" s="167">
        <v>3.0</v>
      </c>
      <c r="M343" s="166" t="s">
        <v>16</v>
      </c>
      <c r="N343" s="169">
        <v>10.0</v>
      </c>
      <c r="O343" s="167">
        <v>1800.0</v>
      </c>
      <c r="P343" s="170"/>
      <c r="Q343" s="171"/>
      <c r="R343" s="173" t="s">
        <v>15</v>
      </c>
      <c r="S343" s="176"/>
      <c r="T343" s="8"/>
      <c r="U343" s="8"/>
      <c r="V343" s="8"/>
      <c r="W343" s="8"/>
      <c r="X343" s="8"/>
      <c r="Y343" s="8"/>
      <c r="Z343" s="8"/>
    </row>
    <row r="344" ht="22.5" customHeight="1">
      <c r="A344" s="9" t="str">
        <f t="shared" si="1"/>
        <v>LEA-0343</v>
      </c>
      <c r="B344" s="165">
        <v>46028.0</v>
      </c>
      <c r="C344" s="166" t="s">
        <v>39</v>
      </c>
      <c r="D344" s="166" t="s">
        <v>62</v>
      </c>
      <c r="E344" s="167" t="s">
        <v>615</v>
      </c>
      <c r="F344" s="167">
        <v>8.197107826E9</v>
      </c>
      <c r="G344" s="168"/>
      <c r="H344" s="168"/>
      <c r="I344" s="181" t="s">
        <v>606</v>
      </c>
      <c r="J344" s="167" t="s">
        <v>607</v>
      </c>
      <c r="K344" s="175" t="s">
        <v>77</v>
      </c>
      <c r="L344" s="167">
        <v>1.6</v>
      </c>
      <c r="M344" s="166" t="s">
        <v>16</v>
      </c>
      <c r="N344" s="169">
        <v>7.0</v>
      </c>
      <c r="O344" s="167">
        <v>1000.0</v>
      </c>
      <c r="P344" s="170"/>
      <c r="Q344" s="171"/>
      <c r="R344" s="173" t="s">
        <v>15</v>
      </c>
      <c r="S344" s="176"/>
      <c r="T344" s="8"/>
      <c r="U344" s="8"/>
      <c r="V344" s="8"/>
      <c r="W344" s="8"/>
      <c r="X344" s="8"/>
      <c r="Y344" s="8"/>
      <c r="Z344" s="8"/>
    </row>
    <row r="345" ht="22.5" customHeight="1">
      <c r="A345" s="9" t="str">
        <f t="shared" si="1"/>
        <v>LEA-0344</v>
      </c>
      <c r="B345" s="165">
        <v>46028.0</v>
      </c>
      <c r="C345" s="166" t="s">
        <v>63</v>
      </c>
      <c r="D345" s="166" t="s">
        <v>26</v>
      </c>
      <c r="E345" s="167" t="s">
        <v>616</v>
      </c>
      <c r="F345" s="167">
        <v>8.197950728E9</v>
      </c>
      <c r="G345" s="168"/>
      <c r="H345" s="168"/>
      <c r="I345" s="182" t="s">
        <v>617</v>
      </c>
      <c r="J345" s="167" t="s">
        <v>73</v>
      </c>
      <c r="K345" s="175" t="s">
        <v>73</v>
      </c>
      <c r="L345" s="167">
        <v>3.0</v>
      </c>
      <c r="M345" s="166" t="s">
        <v>16</v>
      </c>
      <c r="N345" s="169">
        <v>4.0</v>
      </c>
      <c r="O345" s="167">
        <v>1800.0</v>
      </c>
      <c r="P345" s="170"/>
      <c r="Q345" s="171"/>
      <c r="R345" s="173" t="s">
        <v>15</v>
      </c>
      <c r="S345" s="176"/>
      <c r="T345" s="8"/>
      <c r="U345" s="8"/>
      <c r="V345" s="8"/>
      <c r="W345" s="8"/>
      <c r="X345" s="8"/>
      <c r="Y345" s="8"/>
      <c r="Z345" s="8"/>
    </row>
    <row r="346" ht="22.5" customHeight="1">
      <c r="A346" s="9" t="str">
        <f t="shared" si="1"/>
        <v>LEA-0345</v>
      </c>
      <c r="B346" s="165">
        <v>46029.0</v>
      </c>
      <c r="C346" s="166" t="s">
        <v>63</v>
      </c>
      <c r="D346" s="166" t="s">
        <v>26</v>
      </c>
      <c r="E346" s="167" t="s">
        <v>618</v>
      </c>
      <c r="F346" s="167">
        <v>9.449335713E9</v>
      </c>
      <c r="G346" s="168"/>
      <c r="H346" s="168"/>
      <c r="I346" s="182" t="s">
        <v>619</v>
      </c>
      <c r="J346" s="167" t="s">
        <v>620</v>
      </c>
      <c r="K346" s="175" t="s">
        <v>79</v>
      </c>
      <c r="L346" s="167">
        <v>5.0</v>
      </c>
      <c r="M346" s="166" t="s">
        <v>16</v>
      </c>
      <c r="N346" s="169">
        <v>20.0</v>
      </c>
      <c r="O346" s="167">
        <v>3000.0</v>
      </c>
      <c r="P346" s="170"/>
      <c r="Q346" s="171"/>
      <c r="R346" s="173" t="s">
        <v>15</v>
      </c>
      <c r="S346" s="176"/>
      <c r="T346" s="8"/>
      <c r="U346" s="8"/>
      <c r="V346" s="8"/>
      <c r="W346" s="8"/>
      <c r="X346" s="8"/>
      <c r="Y346" s="8"/>
      <c r="Z346" s="8"/>
    </row>
    <row r="347" ht="22.5" customHeight="1">
      <c r="A347" s="9" t="str">
        <f t="shared" si="1"/>
        <v>LEA-0346</v>
      </c>
      <c r="B347" s="165">
        <v>46029.0</v>
      </c>
      <c r="C347" s="166" t="s">
        <v>63</v>
      </c>
      <c r="D347" s="166" t="s">
        <v>26</v>
      </c>
      <c r="E347" s="167" t="s">
        <v>409</v>
      </c>
      <c r="F347" s="167">
        <v>9.972600709E9</v>
      </c>
      <c r="G347" s="168"/>
      <c r="H347" s="168"/>
      <c r="I347" s="182" t="s">
        <v>621</v>
      </c>
      <c r="J347" s="167" t="s">
        <v>210</v>
      </c>
      <c r="K347" s="175" t="s">
        <v>75</v>
      </c>
      <c r="L347" s="167">
        <v>10.0</v>
      </c>
      <c r="M347" s="166" t="s">
        <v>16</v>
      </c>
      <c r="N347" s="169">
        <v>20.0</v>
      </c>
      <c r="O347" s="167">
        <v>6000.0</v>
      </c>
      <c r="P347" s="170"/>
      <c r="Q347" s="171"/>
      <c r="R347" s="173" t="s">
        <v>15</v>
      </c>
      <c r="S347" s="176"/>
      <c r="T347" s="8"/>
      <c r="U347" s="8"/>
      <c r="V347" s="8"/>
      <c r="W347" s="8"/>
      <c r="X347" s="8"/>
      <c r="Y347" s="8"/>
      <c r="Z347" s="8"/>
    </row>
    <row r="348" ht="22.5" customHeight="1">
      <c r="A348" s="9" t="str">
        <f t="shared" si="1"/>
        <v>LEA-0347</v>
      </c>
      <c r="B348" s="165">
        <v>46029.0</v>
      </c>
      <c r="C348" s="166" t="s">
        <v>63</v>
      </c>
      <c r="D348" s="166" t="s">
        <v>26</v>
      </c>
      <c r="E348" s="167" t="s">
        <v>622</v>
      </c>
      <c r="F348" s="167">
        <v>7.349499909E9</v>
      </c>
      <c r="G348" s="168"/>
      <c r="H348" s="168"/>
      <c r="I348" s="182" t="s">
        <v>623</v>
      </c>
      <c r="J348" s="167" t="s">
        <v>620</v>
      </c>
      <c r="K348" s="175" t="s">
        <v>79</v>
      </c>
      <c r="L348" s="167">
        <v>5.0</v>
      </c>
      <c r="M348" s="166" t="s">
        <v>16</v>
      </c>
      <c r="N348" s="169">
        <v>4.0</v>
      </c>
      <c r="O348" s="167">
        <v>3000.0</v>
      </c>
      <c r="P348" s="170"/>
      <c r="Q348" s="171"/>
      <c r="R348" s="173" t="s">
        <v>15</v>
      </c>
      <c r="S348" s="176"/>
      <c r="T348" s="8"/>
      <c r="U348" s="8"/>
      <c r="V348" s="8"/>
      <c r="W348" s="8"/>
      <c r="X348" s="8"/>
      <c r="Y348" s="8"/>
      <c r="Z348" s="8"/>
    </row>
    <row r="349" ht="22.5" customHeight="1">
      <c r="A349" s="9" t="str">
        <f t="shared" si="1"/>
        <v>LEA-0348</v>
      </c>
      <c r="B349" s="165">
        <v>46031.0</v>
      </c>
      <c r="C349" s="166" t="s">
        <v>63</v>
      </c>
      <c r="D349" s="166" t="s">
        <v>26</v>
      </c>
      <c r="E349" s="167" t="s">
        <v>624</v>
      </c>
      <c r="F349" s="167">
        <v>7.760866649E9</v>
      </c>
      <c r="G349" s="168"/>
      <c r="H349" s="168"/>
      <c r="I349" s="182" t="s">
        <v>625</v>
      </c>
      <c r="J349" s="167" t="s">
        <v>308</v>
      </c>
      <c r="K349" s="175" t="s">
        <v>77</v>
      </c>
      <c r="L349" s="167">
        <v>15.0</v>
      </c>
      <c r="M349" s="166" t="s">
        <v>16</v>
      </c>
      <c r="N349" s="169">
        <v>5.0</v>
      </c>
      <c r="O349" s="167">
        <v>6500.0</v>
      </c>
      <c r="P349" s="170"/>
      <c r="Q349" s="171"/>
      <c r="R349" s="173" t="s">
        <v>15</v>
      </c>
      <c r="S349" s="176"/>
      <c r="T349" s="8"/>
      <c r="U349" s="8"/>
      <c r="V349" s="8"/>
      <c r="W349" s="8"/>
      <c r="X349" s="8"/>
      <c r="Y349" s="8"/>
      <c r="Z349" s="8"/>
    </row>
    <row r="350" ht="22.5" customHeight="1">
      <c r="A350" s="9" t="str">
        <f t="shared" si="1"/>
        <v>LEA-0349</v>
      </c>
      <c r="B350" s="165">
        <v>46029.0</v>
      </c>
      <c r="C350" s="166" t="s">
        <v>39</v>
      </c>
      <c r="D350" s="166" t="s">
        <v>62</v>
      </c>
      <c r="E350" s="167" t="s">
        <v>626</v>
      </c>
      <c r="F350" s="167">
        <v>9.880780544E9</v>
      </c>
      <c r="G350" s="168"/>
      <c r="H350" s="168"/>
      <c r="I350" s="183" t="s">
        <v>627</v>
      </c>
      <c r="J350" s="167" t="s">
        <v>308</v>
      </c>
      <c r="K350" s="175" t="s">
        <v>77</v>
      </c>
      <c r="L350" s="167">
        <v>10.0</v>
      </c>
      <c r="M350" s="166" t="s">
        <v>16</v>
      </c>
      <c r="N350" s="169">
        <v>50.0</v>
      </c>
      <c r="O350" s="167">
        <v>6000.0</v>
      </c>
      <c r="P350" s="170"/>
      <c r="Q350" s="171"/>
      <c r="R350" s="173" t="s">
        <v>15</v>
      </c>
      <c r="S350" s="176"/>
      <c r="T350" s="8"/>
      <c r="U350" s="8"/>
      <c r="V350" s="8"/>
      <c r="W350" s="8"/>
      <c r="X350" s="8"/>
      <c r="Y350" s="8"/>
      <c r="Z350" s="8"/>
    </row>
    <row r="351" ht="22.5" customHeight="1">
      <c r="A351" s="9" t="str">
        <f t="shared" si="1"/>
        <v>LEA-0350</v>
      </c>
      <c r="B351" s="165">
        <v>46029.0</v>
      </c>
      <c r="C351" s="166" t="s">
        <v>39</v>
      </c>
      <c r="D351" s="166" t="s">
        <v>62</v>
      </c>
      <c r="E351" s="167" t="s">
        <v>628</v>
      </c>
      <c r="F351" s="167">
        <v>7.20438345E9</v>
      </c>
      <c r="G351" s="168"/>
      <c r="H351" s="168"/>
      <c r="I351" s="183" t="s">
        <v>492</v>
      </c>
      <c r="J351" s="167" t="s">
        <v>77</v>
      </c>
      <c r="K351" s="175" t="s">
        <v>77</v>
      </c>
      <c r="L351" s="167">
        <v>15.0</v>
      </c>
      <c r="M351" s="166" t="s">
        <v>16</v>
      </c>
      <c r="N351" s="169">
        <v>30.0</v>
      </c>
      <c r="O351" s="167">
        <v>9000.0</v>
      </c>
      <c r="P351" s="170"/>
      <c r="Q351" s="171"/>
      <c r="R351" s="173" t="s">
        <v>15</v>
      </c>
      <c r="S351" s="176"/>
      <c r="T351" s="8"/>
      <c r="U351" s="8"/>
      <c r="V351" s="8"/>
      <c r="W351" s="8"/>
      <c r="X351" s="8"/>
      <c r="Y351" s="8"/>
      <c r="Z351" s="8"/>
    </row>
    <row r="352" ht="22.5" customHeight="1">
      <c r="A352" s="9" t="str">
        <f t="shared" si="1"/>
        <v>LEA-0351</v>
      </c>
      <c r="B352" s="165">
        <v>46029.0</v>
      </c>
      <c r="C352" s="166" t="s">
        <v>39</v>
      </c>
      <c r="D352" s="166" t="s">
        <v>62</v>
      </c>
      <c r="E352" s="167" t="s">
        <v>299</v>
      </c>
      <c r="F352" s="167">
        <v>7.483878049E9</v>
      </c>
      <c r="G352" s="168"/>
      <c r="H352" s="168"/>
      <c r="I352" s="183" t="s">
        <v>629</v>
      </c>
      <c r="J352" s="167" t="s">
        <v>77</v>
      </c>
      <c r="K352" s="175" t="s">
        <v>77</v>
      </c>
      <c r="L352" s="167">
        <v>8.3</v>
      </c>
      <c r="M352" s="166" t="s">
        <v>16</v>
      </c>
      <c r="N352" s="169">
        <v>23.0</v>
      </c>
      <c r="O352" s="167">
        <v>5000.0</v>
      </c>
      <c r="P352" s="170"/>
      <c r="Q352" s="171"/>
      <c r="R352" s="173" t="s">
        <v>15</v>
      </c>
      <c r="S352" s="176"/>
      <c r="T352" s="8"/>
      <c r="U352" s="8"/>
      <c r="V352" s="8"/>
      <c r="W352" s="8"/>
      <c r="X352" s="8"/>
      <c r="Y352" s="8"/>
      <c r="Z352" s="8"/>
    </row>
    <row r="353" ht="22.5" customHeight="1">
      <c r="A353" s="9" t="str">
        <f t="shared" si="1"/>
        <v>LEA-0352</v>
      </c>
      <c r="B353" s="165">
        <v>46029.0</v>
      </c>
      <c r="C353" s="166" t="s">
        <v>39</v>
      </c>
      <c r="D353" s="166" t="s">
        <v>62</v>
      </c>
      <c r="E353" s="167" t="s">
        <v>630</v>
      </c>
      <c r="F353" s="167">
        <v>8.762053186E9</v>
      </c>
      <c r="G353" s="168"/>
      <c r="H353" s="168"/>
      <c r="I353" s="183" t="s">
        <v>631</v>
      </c>
      <c r="J353" s="167" t="s">
        <v>308</v>
      </c>
      <c r="K353" s="175" t="s">
        <v>77</v>
      </c>
      <c r="L353" s="167">
        <v>4.0</v>
      </c>
      <c r="M353" s="166" t="s">
        <v>16</v>
      </c>
      <c r="N353" s="169">
        <v>30.0</v>
      </c>
      <c r="O353" s="167">
        <v>2400.0</v>
      </c>
      <c r="P353" s="170"/>
      <c r="Q353" s="171"/>
      <c r="R353" s="173" t="s">
        <v>15</v>
      </c>
      <c r="S353" s="176"/>
      <c r="T353" s="8"/>
      <c r="U353" s="8"/>
      <c r="V353" s="8"/>
      <c r="W353" s="8"/>
      <c r="X353" s="8"/>
      <c r="Y353" s="8"/>
      <c r="Z353" s="8"/>
    </row>
    <row r="354" ht="22.5" customHeight="1">
      <c r="A354" s="9" t="str">
        <f t="shared" si="1"/>
        <v>LEA-0353</v>
      </c>
      <c r="B354" s="165">
        <v>46029.0</v>
      </c>
      <c r="C354" s="166" t="s">
        <v>39</v>
      </c>
      <c r="D354" s="166" t="s">
        <v>62</v>
      </c>
      <c r="E354" s="167" t="s">
        <v>632</v>
      </c>
      <c r="F354" s="167">
        <v>8.630842584E9</v>
      </c>
      <c r="G354" s="168"/>
      <c r="H354" s="168"/>
      <c r="I354" s="183" t="s">
        <v>627</v>
      </c>
      <c r="J354" s="167" t="s">
        <v>308</v>
      </c>
      <c r="K354" s="175" t="s">
        <v>77</v>
      </c>
      <c r="L354" s="167">
        <v>2.0</v>
      </c>
      <c r="M354" s="166" t="s">
        <v>16</v>
      </c>
      <c r="N354" s="169">
        <v>5.0</v>
      </c>
      <c r="O354" s="167">
        <v>2100.0</v>
      </c>
      <c r="P354" s="170"/>
      <c r="Q354" s="171"/>
      <c r="R354" s="173" t="s">
        <v>15</v>
      </c>
      <c r="S354" s="176"/>
      <c r="T354" s="8"/>
      <c r="U354" s="8"/>
      <c r="V354" s="8"/>
      <c r="W354" s="8"/>
      <c r="X354" s="8"/>
      <c r="Y354" s="8"/>
      <c r="Z354" s="8"/>
    </row>
    <row r="355" ht="22.5" customHeight="1">
      <c r="A355" s="9" t="str">
        <f t="shared" si="1"/>
        <v>LEA-0354</v>
      </c>
      <c r="B355" s="165">
        <v>46029.0</v>
      </c>
      <c r="C355" s="166" t="s">
        <v>39</v>
      </c>
      <c r="D355" s="166" t="s">
        <v>62</v>
      </c>
      <c r="E355" s="167" t="s">
        <v>633</v>
      </c>
      <c r="F355" s="167">
        <v>9.448085149E9</v>
      </c>
      <c r="G355" s="168"/>
      <c r="H355" s="168"/>
      <c r="I355" s="183" t="s">
        <v>627</v>
      </c>
      <c r="J355" s="167" t="s">
        <v>308</v>
      </c>
      <c r="K355" s="175" t="s">
        <v>77</v>
      </c>
      <c r="L355" s="167">
        <v>3.0</v>
      </c>
      <c r="M355" s="166" t="s">
        <v>16</v>
      </c>
      <c r="N355" s="169">
        <v>30.0</v>
      </c>
      <c r="O355" s="167">
        <v>1800.0</v>
      </c>
      <c r="P355" s="170"/>
      <c r="Q355" s="171"/>
      <c r="R355" s="173" t="s">
        <v>15</v>
      </c>
      <c r="S355" s="176"/>
      <c r="T355" s="8"/>
      <c r="U355" s="8"/>
      <c r="V355" s="8"/>
      <c r="W355" s="8"/>
      <c r="X355" s="8"/>
      <c r="Y355" s="8"/>
      <c r="Z355" s="8"/>
    </row>
    <row r="356" ht="22.5" customHeight="1">
      <c r="A356" s="9" t="str">
        <f t="shared" si="1"/>
        <v>LEA-0355</v>
      </c>
      <c r="B356" s="165">
        <v>46029.0</v>
      </c>
      <c r="C356" s="166" t="s">
        <v>39</v>
      </c>
      <c r="D356" s="166" t="s">
        <v>62</v>
      </c>
      <c r="E356" s="167" t="s">
        <v>203</v>
      </c>
      <c r="F356" s="167">
        <v>9.482072084E9</v>
      </c>
      <c r="G356" s="168"/>
      <c r="H356" s="168"/>
      <c r="I356" s="183" t="s">
        <v>627</v>
      </c>
      <c r="J356" s="167" t="s">
        <v>308</v>
      </c>
      <c r="K356" s="175" t="s">
        <v>77</v>
      </c>
      <c r="L356" s="167">
        <v>1.6</v>
      </c>
      <c r="M356" s="166" t="s">
        <v>16</v>
      </c>
      <c r="N356" s="169">
        <v>40.0</v>
      </c>
      <c r="O356" s="167">
        <v>1000.0</v>
      </c>
      <c r="P356" s="170"/>
      <c r="Q356" s="171"/>
      <c r="R356" s="173" t="s">
        <v>15</v>
      </c>
      <c r="S356" s="176"/>
      <c r="T356" s="8"/>
      <c r="U356" s="8"/>
      <c r="V356" s="8"/>
      <c r="W356" s="8"/>
      <c r="X356" s="8"/>
      <c r="Y356" s="8"/>
      <c r="Z356" s="8"/>
    </row>
    <row r="357" ht="22.5" customHeight="1">
      <c r="A357" s="9" t="str">
        <f t="shared" si="1"/>
        <v>LEA-0356</v>
      </c>
      <c r="B357" s="165">
        <v>46030.0</v>
      </c>
      <c r="C357" s="166" t="s">
        <v>39</v>
      </c>
      <c r="D357" s="166" t="s">
        <v>62</v>
      </c>
      <c r="E357" s="167" t="s">
        <v>297</v>
      </c>
      <c r="F357" s="167">
        <v>9.886639898E9</v>
      </c>
      <c r="G357" s="168"/>
      <c r="H357" s="168"/>
      <c r="I357" s="183" t="s">
        <v>634</v>
      </c>
      <c r="J357" s="167" t="s">
        <v>210</v>
      </c>
      <c r="K357" s="175" t="s">
        <v>77</v>
      </c>
      <c r="L357" s="167">
        <v>4.0</v>
      </c>
      <c r="M357" s="166" t="s">
        <v>16</v>
      </c>
      <c r="N357" s="169">
        <v>25.0</v>
      </c>
      <c r="O357" s="167">
        <v>2400.0</v>
      </c>
      <c r="P357" s="170"/>
      <c r="Q357" s="171"/>
      <c r="R357" s="173" t="s">
        <v>15</v>
      </c>
      <c r="S357" s="176"/>
      <c r="T357" s="8"/>
      <c r="U357" s="8"/>
      <c r="V357" s="8"/>
      <c r="W357" s="8"/>
      <c r="X357" s="8"/>
      <c r="Y357" s="8"/>
      <c r="Z357" s="8"/>
    </row>
    <row r="358" ht="22.5" customHeight="1">
      <c r="A358" s="9" t="str">
        <f t="shared" si="1"/>
        <v>LEA-0357</v>
      </c>
      <c r="B358" s="165">
        <v>46030.0</v>
      </c>
      <c r="C358" s="166" t="s">
        <v>39</v>
      </c>
      <c r="D358" s="166" t="s">
        <v>62</v>
      </c>
      <c r="E358" s="167" t="s">
        <v>635</v>
      </c>
      <c r="F358" s="167">
        <v>8.722011396E9</v>
      </c>
      <c r="G358" s="168"/>
      <c r="H358" s="168"/>
      <c r="I358" s="183" t="s">
        <v>636</v>
      </c>
      <c r="J358" s="167" t="s">
        <v>210</v>
      </c>
      <c r="K358" s="175" t="s">
        <v>77</v>
      </c>
      <c r="L358" s="167">
        <v>1.5</v>
      </c>
      <c r="M358" s="166" t="s">
        <v>16</v>
      </c>
      <c r="N358" s="169">
        <v>9.0</v>
      </c>
      <c r="O358" s="167">
        <v>800.0</v>
      </c>
      <c r="P358" s="170"/>
      <c r="Q358" s="171"/>
      <c r="R358" s="173" t="s">
        <v>15</v>
      </c>
      <c r="S358" s="176"/>
      <c r="T358" s="8"/>
      <c r="U358" s="8"/>
      <c r="V358" s="8"/>
      <c r="W358" s="8"/>
      <c r="X358" s="8"/>
      <c r="Y358" s="8"/>
      <c r="Z358" s="8"/>
    </row>
    <row r="359" ht="22.5" customHeight="1">
      <c r="A359" s="9" t="str">
        <f t="shared" si="1"/>
        <v>LEA-0358</v>
      </c>
      <c r="B359" s="165">
        <v>46030.0</v>
      </c>
      <c r="C359" s="166" t="s">
        <v>39</v>
      </c>
      <c r="D359" s="166" t="s">
        <v>62</v>
      </c>
      <c r="E359" s="167" t="s">
        <v>637</v>
      </c>
      <c r="F359" s="167">
        <v>9.620636021E9</v>
      </c>
      <c r="G359" s="168"/>
      <c r="H359" s="168"/>
      <c r="I359" s="183" t="s">
        <v>638</v>
      </c>
      <c r="J359" s="167" t="s">
        <v>77</v>
      </c>
      <c r="K359" s="175" t="s">
        <v>77</v>
      </c>
      <c r="L359" s="167">
        <v>1.6</v>
      </c>
      <c r="M359" s="166" t="s">
        <v>16</v>
      </c>
      <c r="N359" s="169">
        <v>25.0</v>
      </c>
      <c r="O359" s="167">
        <v>1000.0</v>
      </c>
      <c r="P359" s="170"/>
      <c r="Q359" s="171"/>
      <c r="R359" s="173" t="s">
        <v>15</v>
      </c>
      <c r="S359" s="176"/>
      <c r="T359" s="8"/>
      <c r="U359" s="8"/>
      <c r="V359" s="8"/>
      <c r="W359" s="8"/>
      <c r="X359" s="8"/>
      <c r="Y359" s="8"/>
      <c r="Z359" s="8"/>
    </row>
    <row r="360" ht="22.5" customHeight="1">
      <c r="A360" s="9" t="str">
        <f t="shared" si="1"/>
        <v>LEA-0359</v>
      </c>
      <c r="B360" s="165">
        <v>46030.0</v>
      </c>
      <c r="C360" s="166" t="s">
        <v>39</v>
      </c>
      <c r="D360" s="166" t="s">
        <v>62</v>
      </c>
      <c r="E360" s="167" t="s">
        <v>639</v>
      </c>
      <c r="F360" s="167">
        <v>9.980064696E9</v>
      </c>
      <c r="G360" s="168"/>
      <c r="H360" s="168"/>
      <c r="I360" s="183" t="s">
        <v>640</v>
      </c>
      <c r="J360" s="167" t="s">
        <v>130</v>
      </c>
      <c r="K360" s="175" t="s">
        <v>77</v>
      </c>
      <c r="L360" s="167">
        <v>5.0</v>
      </c>
      <c r="M360" s="166" t="s">
        <v>16</v>
      </c>
      <c r="N360" s="169">
        <v>35.0</v>
      </c>
      <c r="O360" s="167">
        <v>3000.0</v>
      </c>
      <c r="P360" s="170"/>
      <c r="Q360" s="171"/>
      <c r="R360" s="173" t="s">
        <v>15</v>
      </c>
      <c r="S360" s="176"/>
      <c r="T360" s="8"/>
      <c r="U360" s="8"/>
      <c r="V360" s="8"/>
      <c r="W360" s="8"/>
      <c r="X360" s="8"/>
      <c r="Y360" s="8"/>
      <c r="Z360" s="8"/>
    </row>
    <row r="361" ht="22.5" customHeight="1">
      <c r="A361" s="9" t="str">
        <f t="shared" si="1"/>
        <v>LEA-0360</v>
      </c>
      <c r="B361" s="165">
        <v>46030.0</v>
      </c>
      <c r="C361" s="166" t="s">
        <v>39</v>
      </c>
      <c r="D361" s="166" t="s">
        <v>62</v>
      </c>
      <c r="E361" s="167" t="s">
        <v>641</v>
      </c>
      <c r="F361" s="167">
        <v>9.108574679E9</v>
      </c>
      <c r="G361" s="168"/>
      <c r="H361" s="168"/>
      <c r="I361" s="183" t="s">
        <v>642</v>
      </c>
      <c r="J361" s="167" t="s">
        <v>210</v>
      </c>
      <c r="K361" s="175" t="s">
        <v>77</v>
      </c>
      <c r="L361" s="167">
        <v>2.0</v>
      </c>
      <c r="M361" s="166" t="s">
        <v>16</v>
      </c>
      <c r="N361" s="169">
        <v>12.0</v>
      </c>
      <c r="O361" s="167">
        <v>1200.0</v>
      </c>
      <c r="P361" s="170"/>
      <c r="Q361" s="171"/>
      <c r="R361" s="173" t="s">
        <v>15</v>
      </c>
      <c r="S361" s="176"/>
      <c r="T361" s="8"/>
      <c r="U361" s="8"/>
      <c r="V361" s="8"/>
      <c r="W361" s="8"/>
      <c r="X361" s="8"/>
      <c r="Y361" s="8"/>
      <c r="Z361" s="8"/>
    </row>
    <row r="362" ht="22.5" customHeight="1">
      <c r="A362" s="9" t="str">
        <f t="shared" si="1"/>
        <v>LEA-0361</v>
      </c>
      <c r="B362" s="165">
        <v>46030.0</v>
      </c>
      <c r="C362" s="166" t="s">
        <v>39</v>
      </c>
      <c r="D362" s="166" t="s">
        <v>62</v>
      </c>
      <c r="E362" s="167" t="s">
        <v>643</v>
      </c>
      <c r="F362" s="167">
        <v>9.481406244E9</v>
      </c>
      <c r="G362" s="168"/>
      <c r="H362" s="168"/>
      <c r="I362" s="183" t="s">
        <v>344</v>
      </c>
      <c r="J362" s="167" t="s">
        <v>130</v>
      </c>
      <c r="K362" s="175" t="s">
        <v>77</v>
      </c>
      <c r="L362" s="167">
        <v>8.0</v>
      </c>
      <c r="M362" s="166" t="s">
        <v>16</v>
      </c>
      <c r="N362" s="169">
        <v>40.0</v>
      </c>
      <c r="O362" s="167">
        <v>4800.0</v>
      </c>
      <c r="P362" s="170"/>
      <c r="Q362" s="171"/>
      <c r="R362" s="173" t="s">
        <v>15</v>
      </c>
      <c r="S362" s="176"/>
      <c r="T362" s="8"/>
      <c r="U362" s="8"/>
      <c r="V362" s="8"/>
      <c r="W362" s="8"/>
      <c r="X362" s="8"/>
      <c r="Y362" s="8"/>
      <c r="Z362" s="8"/>
    </row>
    <row r="363" ht="22.5" customHeight="1">
      <c r="A363" s="9" t="str">
        <f t="shared" si="1"/>
        <v>LEA-0362</v>
      </c>
      <c r="B363" s="165">
        <v>46031.0</v>
      </c>
      <c r="C363" s="166" t="s">
        <v>63</v>
      </c>
      <c r="D363" s="166" t="s">
        <v>26</v>
      </c>
      <c r="E363" s="167" t="s">
        <v>644</v>
      </c>
      <c r="F363" s="167">
        <v>6.362414295E9</v>
      </c>
      <c r="G363" s="168"/>
      <c r="H363" s="168"/>
      <c r="I363" s="182" t="s">
        <v>645</v>
      </c>
      <c r="J363" s="167" t="s">
        <v>210</v>
      </c>
      <c r="K363" s="175" t="s">
        <v>73</v>
      </c>
      <c r="L363" s="167">
        <v>2.0</v>
      </c>
      <c r="M363" s="166" t="s">
        <v>16</v>
      </c>
      <c r="N363" s="169">
        <v>15.0</v>
      </c>
      <c r="O363" s="167">
        <v>1200.0</v>
      </c>
      <c r="P363" s="170"/>
      <c r="Q363" s="171"/>
      <c r="R363" s="173" t="s">
        <v>15</v>
      </c>
      <c r="S363" s="176"/>
      <c r="T363" s="8"/>
      <c r="U363" s="8"/>
      <c r="V363" s="8"/>
      <c r="W363" s="8"/>
      <c r="X363" s="8"/>
      <c r="Y363" s="8"/>
      <c r="Z363" s="8"/>
    </row>
    <row r="364" ht="22.5" customHeight="1">
      <c r="A364" s="9" t="str">
        <f t="shared" si="1"/>
        <v>LEA-0363</v>
      </c>
      <c r="B364" s="165">
        <v>46031.0</v>
      </c>
      <c r="C364" s="166" t="s">
        <v>63</v>
      </c>
      <c r="D364" s="166" t="s">
        <v>26</v>
      </c>
      <c r="E364" s="167" t="s">
        <v>646</v>
      </c>
      <c r="F364" s="167">
        <v>9.449206188E9</v>
      </c>
      <c r="G364" s="168"/>
      <c r="H364" s="168"/>
      <c r="I364" s="182" t="s">
        <v>647</v>
      </c>
      <c r="J364" s="167" t="s">
        <v>620</v>
      </c>
      <c r="K364" s="175" t="s">
        <v>79</v>
      </c>
      <c r="L364" s="167">
        <v>3.5</v>
      </c>
      <c r="M364" s="166" t="s">
        <v>16</v>
      </c>
      <c r="N364" s="169">
        <v>10.0</v>
      </c>
      <c r="O364" s="167">
        <v>2000.0</v>
      </c>
      <c r="P364" s="170"/>
      <c r="Q364" s="171"/>
      <c r="R364" s="173" t="s">
        <v>15</v>
      </c>
      <c r="S364" s="176"/>
      <c r="T364" s="8"/>
      <c r="U364" s="8"/>
      <c r="V364" s="8"/>
      <c r="W364" s="8"/>
      <c r="X364" s="8"/>
      <c r="Y364" s="8"/>
      <c r="Z364" s="8"/>
    </row>
    <row r="365" ht="22.5" customHeight="1">
      <c r="A365" s="9" t="str">
        <f t="shared" si="1"/>
        <v>LEA-0364</v>
      </c>
      <c r="B365" s="165">
        <v>46031.0</v>
      </c>
      <c r="C365" s="166" t="s">
        <v>63</v>
      </c>
      <c r="D365" s="166" t="s">
        <v>26</v>
      </c>
      <c r="E365" s="167" t="s">
        <v>648</v>
      </c>
      <c r="F365" s="167">
        <v>9.916992223E9</v>
      </c>
      <c r="G365" s="168"/>
      <c r="H365" s="168"/>
      <c r="I365" s="182" t="s">
        <v>649</v>
      </c>
      <c r="J365" s="167" t="s">
        <v>68</v>
      </c>
      <c r="K365" s="175" t="s">
        <v>68</v>
      </c>
      <c r="L365" s="167">
        <v>1.5</v>
      </c>
      <c r="M365" s="166" t="s">
        <v>16</v>
      </c>
      <c r="N365" s="169">
        <v>2.0</v>
      </c>
      <c r="O365" s="167">
        <v>900.0</v>
      </c>
      <c r="P365" s="170"/>
      <c r="Q365" s="171"/>
      <c r="R365" s="173" t="s">
        <v>15</v>
      </c>
      <c r="S365" s="176"/>
      <c r="T365" s="8"/>
      <c r="U365" s="8"/>
      <c r="V365" s="8"/>
      <c r="W365" s="8"/>
      <c r="X365" s="8"/>
      <c r="Y365" s="8"/>
      <c r="Z365" s="8"/>
    </row>
    <row r="366" ht="22.5" customHeight="1">
      <c r="A366" s="9" t="str">
        <f t="shared" si="1"/>
        <v>LEA-0365</v>
      </c>
      <c r="B366" s="165">
        <v>46031.0</v>
      </c>
      <c r="C366" s="166" t="s">
        <v>39</v>
      </c>
      <c r="D366" s="166" t="s">
        <v>62</v>
      </c>
      <c r="E366" s="167" t="s">
        <v>650</v>
      </c>
      <c r="F366" s="167">
        <v>9.008032122E9</v>
      </c>
      <c r="G366" s="168"/>
      <c r="H366" s="168"/>
      <c r="I366" s="183" t="s">
        <v>651</v>
      </c>
      <c r="J366" s="167" t="s">
        <v>130</v>
      </c>
      <c r="K366" s="175" t="s">
        <v>77</v>
      </c>
      <c r="L366" s="167">
        <v>3.5</v>
      </c>
      <c r="M366" s="166" t="s">
        <v>16</v>
      </c>
      <c r="N366" s="169">
        <v>30.0</v>
      </c>
      <c r="O366" s="167">
        <v>2000.0</v>
      </c>
      <c r="P366" s="170"/>
      <c r="Q366" s="171"/>
      <c r="R366" s="173" t="s">
        <v>15</v>
      </c>
      <c r="S366" s="176"/>
      <c r="T366" s="8"/>
      <c r="U366" s="8"/>
      <c r="V366" s="8"/>
      <c r="W366" s="8"/>
      <c r="X366" s="8"/>
      <c r="Y366" s="8"/>
      <c r="Z366" s="8"/>
    </row>
    <row r="367" ht="22.5" customHeight="1">
      <c r="A367" s="9" t="str">
        <f t="shared" si="1"/>
        <v>LEA-0366</v>
      </c>
      <c r="B367" s="165">
        <v>46031.0</v>
      </c>
      <c r="C367" s="166" t="s">
        <v>39</v>
      </c>
      <c r="D367" s="166" t="s">
        <v>62</v>
      </c>
      <c r="E367" s="167" t="s">
        <v>652</v>
      </c>
      <c r="F367" s="167">
        <v>9.90047085E8</v>
      </c>
      <c r="G367" s="168"/>
      <c r="H367" s="168"/>
      <c r="I367" s="183" t="s">
        <v>653</v>
      </c>
      <c r="J367" s="167" t="s">
        <v>130</v>
      </c>
      <c r="K367" s="175" t="s">
        <v>77</v>
      </c>
      <c r="L367" s="167">
        <v>1.6</v>
      </c>
      <c r="M367" s="166" t="s">
        <v>16</v>
      </c>
      <c r="N367" s="169">
        <v>9.0</v>
      </c>
      <c r="O367" s="167">
        <v>1000.0</v>
      </c>
      <c r="P367" s="170"/>
      <c r="Q367" s="171"/>
      <c r="R367" s="173" t="s">
        <v>15</v>
      </c>
      <c r="S367" s="176"/>
      <c r="T367" s="8"/>
      <c r="U367" s="8"/>
      <c r="V367" s="8"/>
      <c r="W367" s="8"/>
      <c r="X367" s="8"/>
      <c r="Y367" s="8"/>
      <c r="Z367" s="8"/>
    </row>
    <row r="368" ht="22.5" customHeight="1">
      <c r="A368" s="9" t="str">
        <f t="shared" si="1"/>
        <v>LEA-0367</v>
      </c>
      <c r="B368" s="165">
        <v>46031.0</v>
      </c>
      <c r="C368" s="166" t="s">
        <v>39</v>
      </c>
      <c r="D368" s="166" t="s">
        <v>62</v>
      </c>
      <c r="E368" s="167" t="s">
        <v>654</v>
      </c>
      <c r="F368" s="167">
        <v>9.380773399E9</v>
      </c>
      <c r="G368" s="168"/>
      <c r="H368" s="168"/>
      <c r="I368" s="183" t="s">
        <v>655</v>
      </c>
      <c r="J368" s="167" t="s">
        <v>130</v>
      </c>
      <c r="K368" s="175" t="s">
        <v>77</v>
      </c>
      <c r="L368" s="167">
        <v>4.0</v>
      </c>
      <c r="M368" s="166" t="s">
        <v>16</v>
      </c>
      <c r="N368" s="169">
        <v>10.0</v>
      </c>
      <c r="O368" s="167">
        <v>2400.0</v>
      </c>
      <c r="P368" s="170"/>
      <c r="Q368" s="171"/>
      <c r="R368" s="173" t="s">
        <v>15</v>
      </c>
      <c r="S368" s="176"/>
      <c r="T368" s="8"/>
      <c r="U368" s="8"/>
      <c r="V368" s="8"/>
      <c r="W368" s="8"/>
      <c r="X368" s="8"/>
      <c r="Y368" s="8"/>
      <c r="Z368" s="8"/>
    </row>
    <row r="369" ht="22.5" customHeight="1">
      <c r="A369" s="9" t="str">
        <f t="shared" si="1"/>
        <v>LEA-0368</v>
      </c>
      <c r="B369" s="165">
        <v>46031.0</v>
      </c>
      <c r="C369" s="166" t="s">
        <v>39</v>
      </c>
      <c r="D369" s="166" t="s">
        <v>62</v>
      </c>
      <c r="E369" s="167" t="s">
        <v>656</v>
      </c>
      <c r="F369" s="167">
        <v>6.36428181E9</v>
      </c>
      <c r="G369" s="168"/>
      <c r="H369" s="168"/>
      <c r="I369" s="183" t="s">
        <v>657</v>
      </c>
      <c r="J369" s="167" t="s">
        <v>130</v>
      </c>
      <c r="K369" s="175" t="s">
        <v>77</v>
      </c>
      <c r="L369" s="167">
        <v>3.0</v>
      </c>
      <c r="M369" s="166" t="s">
        <v>16</v>
      </c>
      <c r="N369" s="169">
        <v>12.0</v>
      </c>
      <c r="O369" s="167">
        <v>1800.0</v>
      </c>
      <c r="P369" s="170"/>
      <c r="Q369" s="171"/>
      <c r="R369" s="173" t="s">
        <v>15</v>
      </c>
      <c r="S369" s="176"/>
      <c r="T369" s="8"/>
      <c r="U369" s="8"/>
      <c r="V369" s="8"/>
      <c r="W369" s="8"/>
      <c r="X369" s="8"/>
      <c r="Y369" s="8"/>
      <c r="Z369" s="8"/>
    </row>
    <row r="370" ht="22.5" customHeight="1">
      <c r="A370" s="9" t="str">
        <f t="shared" si="1"/>
        <v>LEA-0369</v>
      </c>
      <c r="B370" s="165">
        <v>46031.0</v>
      </c>
      <c r="C370" s="166" t="s">
        <v>39</v>
      </c>
      <c r="D370" s="166" t="s">
        <v>62</v>
      </c>
      <c r="E370" s="167" t="s">
        <v>658</v>
      </c>
      <c r="F370" s="167">
        <v>7.411077483E9</v>
      </c>
      <c r="G370" s="168"/>
      <c r="H370" s="168"/>
      <c r="I370" s="183" t="s">
        <v>657</v>
      </c>
      <c r="J370" s="167" t="s">
        <v>130</v>
      </c>
      <c r="K370" s="175" t="s">
        <v>77</v>
      </c>
      <c r="L370" s="167">
        <v>1.6</v>
      </c>
      <c r="M370" s="166" t="s">
        <v>16</v>
      </c>
      <c r="N370" s="169">
        <v>9.0</v>
      </c>
      <c r="O370" s="167">
        <v>1000.0</v>
      </c>
      <c r="P370" s="170"/>
      <c r="Q370" s="171"/>
      <c r="R370" s="173" t="s">
        <v>15</v>
      </c>
      <c r="S370" s="176"/>
      <c r="T370" s="8"/>
      <c r="U370" s="8"/>
      <c r="V370" s="8"/>
      <c r="W370" s="8"/>
      <c r="X370" s="8"/>
      <c r="Y370" s="8"/>
      <c r="Z370" s="8"/>
    </row>
    <row r="371" ht="22.5" customHeight="1">
      <c r="A371" s="9" t="str">
        <f t="shared" si="1"/>
        <v>LEA-0370</v>
      </c>
      <c r="B371" s="165">
        <v>46031.0</v>
      </c>
      <c r="C371" s="166" t="s">
        <v>39</v>
      </c>
      <c r="D371" s="166" t="s">
        <v>62</v>
      </c>
      <c r="E371" s="167" t="s">
        <v>659</v>
      </c>
      <c r="F371" s="167">
        <v>8.861969858E9</v>
      </c>
      <c r="G371" s="168"/>
      <c r="H371" s="168"/>
      <c r="I371" s="183" t="s">
        <v>653</v>
      </c>
      <c r="J371" s="167" t="s">
        <v>130</v>
      </c>
      <c r="K371" s="175" t="s">
        <v>77</v>
      </c>
      <c r="L371" s="167">
        <v>1.0</v>
      </c>
      <c r="M371" s="166" t="s">
        <v>16</v>
      </c>
      <c r="N371" s="169">
        <v>9.0</v>
      </c>
      <c r="O371" s="167">
        <v>900.0</v>
      </c>
      <c r="P371" s="170"/>
      <c r="Q371" s="171"/>
      <c r="R371" s="173" t="s">
        <v>15</v>
      </c>
      <c r="S371" s="176"/>
      <c r="T371" s="8"/>
      <c r="U371" s="8"/>
      <c r="V371" s="8"/>
      <c r="W371" s="8"/>
      <c r="X371" s="8"/>
      <c r="Y371" s="8"/>
      <c r="Z371" s="8"/>
    </row>
    <row r="372" ht="22.5" customHeight="1">
      <c r="A372" s="9" t="str">
        <f t="shared" si="1"/>
        <v>LEA-0371</v>
      </c>
      <c r="B372" s="165">
        <v>46032.0</v>
      </c>
      <c r="C372" s="166" t="s">
        <v>39</v>
      </c>
      <c r="D372" s="166" t="s">
        <v>62</v>
      </c>
      <c r="E372" s="167" t="s">
        <v>499</v>
      </c>
      <c r="F372" s="167">
        <v>9.90118876E9</v>
      </c>
      <c r="G372" s="168"/>
      <c r="H372" s="168"/>
      <c r="I372" s="183" t="s">
        <v>356</v>
      </c>
      <c r="J372" s="167" t="s">
        <v>130</v>
      </c>
      <c r="K372" s="175" t="s">
        <v>77</v>
      </c>
      <c r="L372" s="167">
        <v>20.0</v>
      </c>
      <c r="M372" s="166" t="s">
        <v>16</v>
      </c>
      <c r="N372" s="169">
        <v>40.0</v>
      </c>
      <c r="O372" s="167">
        <v>12000.0</v>
      </c>
      <c r="P372" s="170"/>
      <c r="Q372" s="171"/>
      <c r="R372" s="173" t="s">
        <v>15</v>
      </c>
      <c r="S372" s="176"/>
      <c r="T372" s="8"/>
      <c r="U372" s="8"/>
      <c r="V372" s="8"/>
      <c r="W372" s="8"/>
      <c r="X372" s="8"/>
      <c r="Y372" s="8"/>
      <c r="Z372" s="8"/>
    </row>
    <row r="373" ht="22.5" customHeight="1">
      <c r="A373" s="9" t="str">
        <f t="shared" si="1"/>
        <v>LEA-0372</v>
      </c>
      <c r="B373" s="165">
        <v>46032.0</v>
      </c>
      <c r="C373" s="166" t="s">
        <v>39</v>
      </c>
      <c r="D373" s="166" t="s">
        <v>62</v>
      </c>
      <c r="E373" s="167" t="s">
        <v>660</v>
      </c>
      <c r="F373" s="167">
        <v>8.884379229E9</v>
      </c>
      <c r="G373" s="168"/>
      <c r="H373" s="168"/>
      <c r="I373" s="183" t="s">
        <v>356</v>
      </c>
      <c r="J373" s="167" t="s">
        <v>130</v>
      </c>
      <c r="K373" s="175" t="s">
        <v>77</v>
      </c>
      <c r="L373" s="167">
        <v>3.0</v>
      </c>
      <c r="M373" s="166" t="s">
        <v>16</v>
      </c>
      <c r="N373" s="169">
        <v>9.0</v>
      </c>
      <c r="O373" s="167">
        <v>1800.0</v>
      </c>
      <c r="P373" s="170"/>
      <c r="Q373" s="171"/>
      <c r="R373" s="173" t="s">
        <v>15</v>
      </c>
      <c r="S373" s="176"/>
      <c r="T373" s="8"/>
      <c r="U373" s="8"/>
      <c r="V373" s="8"/>
      <c r="W373" s="8"/>
      <c r="X373" s="8"/>
      <c r="Y373" s="8"/>
      <c r="Z373" s="8"/>
    </row>
    <row r="374" ht="22.5" customHeight="1">
      <c r="A374" s="9" t="str">
        <f t="shared" si="1"/>
        <v>LEA-0373</v>
      </c>
      <c r="B374" s="165">
        <v>46032.0</v>
      </c>
      <c r="C374" s="166" t="s">
        <v>39</v>
      </c>
      <c r="D374" s="166" t="s">
        <v>62</v>
      </c>
      <c r="E374" s="167" t="s">
        <v>303</v>
      </c>
      <c r="F374" s="167">
        <v>9.449452474E9</v>
      </c>
      <c r="G374" s="168"/>
      <c r="H374" s="168"/>
      <c r="I374" s="183" t="s">
        <v>661</v>
      </c>
      <c r="J374" s="167" t="s">
        <v>130</v>
      </c>
      <c r="K374" s="175" t="s">
        <v>77</v>
      </c>
      <c r="L374" s="167">
        <v>3.0</v>
      </c>
      <c r="M374" s="166" t="s">
        <v>16</v>
      </c>
      <c r="N374" s="169">
        <v>25.0</v>
      </c>
      <c r="O374" s="167">
        <v>1800.0</v>
      </c>
      <c r="P374" s="170"/>
      <c r="Q374" s="171"/>
      <c r="R374" s="173" t="s">
        <v>15</v>
      </c>
      <c r="S374" s="176"/>
      <c r="T374" s="8"/>
      <c r="U374" s="8"/>
      <c r="V374" s="8"/>
      <c r="W374" s="8"/>
      <c r="X374" s="8"/>
      <c r="Y374" s="8"/>
      <c r="Z374" s="8"/>
    </row>
    <row r="375" ht="22.5" customHeight="1">
      <c r="A375" s="9" t="str">
        <f t="shared" si="1"/>
        <v>LEA-0374</v>
      </c>
      <c r="B375" s="165">
        <v>46032.0</v>
      </c>
      <c r="C375" s="166" t="s">
        <v>39</v>
      </c>
      <c r="D375" s="166" t="s">
        <v>62</v>
      </c>
      <c r="E375" s="167" t="s">
        <v>662</v>
      </c>
      <c r="F375" s="167">
        <v>9.845050436E9</v>
      </c>
      <c r="G375" s="168"/>
      <c r="H375" s="168"/>
      <c r="I375" s="183" t="s">
        <v>663</v>
      </c>
      <c r="J375" s="167" t="s">
        <v>130</v>
      </c>
      <c r="K375" s="175" t="s">
        <v>77</v>
      </c>
      <c r="L375" s="167">
        <v>15.0</v>
      </c>
      <c r="M375" s="166" t="s">
        <v>16</v>
      </c>
      <c r="N375" s="169">
        <v>40.0</v>
      </c>
      <c r="O375" s="167">
        <v>3600.0</v>
      </c>
      <c r="P375" s="170"/>
      <c r="Q375" s="171"/>
      <c r="R375" s="173" t="s">
        <v>15</v>
      </c>
      <c r="S375" s="176"/>
      <c r="T375" s="8"/>
      <c r="U375" s="8"/>
      <c r="V375" s="8"/>
      <c r="W375" s="8"/>
      <c r="X375" s="8"/>
      <c r="Y375" s="8"/>
      <c r="Z375" s="8"/>
    </row>
    <row r="376" ht="22.5" customHeight="1">
      <c r="A376" s="9" t="str">
        <f t="shared" si="1"/>
        <v>LEA-0375</v>
      </c>
      <c r="B376" s="165">
        <v>46032.0</v>
      </c>
      <c r="C376" s="166" t="s">
        <v>39</v>
      </c>
      <c r="D376" s="166" t="s">
        <v>62</v>
      </c>
      <c r="E376" s="167" t="s">
        <v>664</v>
      </c>
      <c r="F376" s="167">
        <v>9.901149946E9</v>
      </c>
      <c r="G376" s="168"/>
      <c r="H376" s="168"/>
      <c r="I376" s="183" t="s">
        <v>663</v>
      </c>
      <c r="J376" s="167" t="s">
        <v>130</v>
      </c>
      <c r="K376" s="175" t="s">
        <v>77</v>
      </c>
      <c r="L376" s="167">
        <v>3.0</v>
      </c>
      <c r="M376" s="166" t="s">
        <v>16</v>
      </c>
      <c r="N376" s="169">
        <v>14.0</v>
      </c>
      <c r="O376" s="167">
        <v>1800.0</v>
      </c>
      <c r="P376" s="170"/>
      <c r="Q376" s="171"/>
      <c r="R376" s="173" t="s">
        <v>15</v>
      </c>
      <c r="S376" s="176"/>
      <c r="T376" s="8"/>
      <c r="U376" s="8"/>
      <c r="V376" s="8"/>
      <c r="W376" s="8"/>
      <c r="X376" s="8"/>
      <c r="Y376" s="8"/>
      <c r="Z376" s="8"/>
    </row>
    <row r="377" ht="22.5" customHeight="1">
      <c r="A377" s="9" t="str">
        <f t="shared" si="1"/>
        <v>LEA-0376</v>
      </c>
      <c r="B377" s="165">
        <v>46032.0</v>
      </c>
      <c r="C377" s="166" t="s">
        <v>39</v>
      </c>
      <c r="D377" s="166" t="s">
        <v>62</v>
      </c>
      <c r="E377" s="167" t="s">
        <v>665</v>
      </c>
      <c r="F377" s="167">
        <v>7.89997299E9</v>
      </c>
      <c r="G377" s="168"/>
      <c r="H377" s="168"/>
      <c r="I377" s="183" t="s">
        <v>661</v>
      </c>
      <c r="J377" s="167" t="s">
        <v>130</v>
      </c>
      <c r="K377" s="175" t="s">
        <v>77</v>
      </c>
      <c r="L377" s="167">
        <v>2.5</v>
      </c>
      <c r="M377" s="166" t="s">
        <v>16</v>
      </c>
      <c r="N377" s="169">
        <v>30.0</v>
      </c>
      <c r="O377" s="167">
        <v>1600.0</v>
      </c>
      <c r="P377" s="170"/>
      <c r="Q377" s="171"/>
      <c r="R377" s="173" t="s">
        <v>15</v>
      </c>
      <c r="S377" s="176"/>
      <c r="T377" s="8"/>
      <c r="U377" s="8"/>
      <c r="V377" s="8"/>
      <c r="W377" s="8"/>
      <c r="X377" s="8"/>
      <c r="Y377" s="8"/>
      <c r="Z377" s="8"/>
    </row>
    <row r="378" ht="22.5" customHeight="1">
      <c r="A378" s="9" t="str">
        <f t="shared" si="1"/>
        <v>LEA-0377</v>
      </c>
      <c r="B378" s="165">
        <v>46032.0</v>
      </c>
      <c r="C378" s="166" t="s">
        <v>39</v>
      </c>
      <c r="D378" s="166" t="s">
        <v>62</v>
      </c>
      <c r="E378" s="167" t="s">
        <v>666</v>
      </c>
      <c r="F378" s="167">
        <v>9.481255455E9</v>
      </c>
      <c r="G378" s="168"/>
      <c r="H378" s="168"/>
      <c r="I378" s="183" t="s">
        <v>661</v>
      </c>
      <c r="J378" s="167" t="s">
        <v>130</v>
      </c>
      <c r="K378" s="175" t="s">
        <v>77</v>
      </c>
      <c r="L378" s="167">
        <v>2.0</v>
      </c>
      <c r="M378" s="166" t="s">
        <v>16</v>
      </c>
      <c r="N378" s="169">
        <v>30.0</v>
      </c>
      <c r="O378" s="167">
        <v>1200.0</v>
      </c>
      <c r="P378" s="170"/>
      <c r="Q378" s="171"/>
      <c r="R378" s="173" t="s">
        <v>15</v>
      </c>
      <c r="S378" s="176"/>
      <c r="T378" s="8"/>
      <c r="U378" s="8"/>
      <c r="V378" s="8"/>
      <c r="W378" s="8"/>
      <c r="X378" s="8"/>
      <c r="Y378" s="8"/>
      <c r="Z378" s="8"/>
    </row>
    <row r="379" ht="22.5" customHeight="1">
      <c r="A379" s="9" t="str">
        <f t="shared" si="1"/>
        <v>LEA-0378</v>
      </c>
      <c r="B379" s="165">
        <v>46034.0</v>
      </c>
      <c r="C379" s="166" t="s">
        <v>39</v>
      </c>
      <c r="D379" s="166" t="s">
        <v>62</v>
      </c>
      <c r="E379" s="167" t="s">
        <v>624</v>
      </c>
      <c r="F379" s="167">
        <v>7.760866649E9</v>
      </c>
      <c r="G379" s="168"/>
      <c r="H379" s="168"/>
      <c r="I379" s="183" t="s">
        <v>625</v>
      </c>
      <c r="J379" s="167" t="s">
        <v>308</v>
      </c>
      <c r="K379" s="175" t="s">
        <v>77</v>
      </c>
      <c r="L379" s="167">
        <v>15.0</v>
      </c>
      <c r="M379" s="166" t="s">
        <v>16</v>
      </c>
      <c r="N379" s="169">
        <v>5.0</v>
      </c>
      <c r="O379" s="167">
        <v>9000.0</v>
      </c>
      <c r="P379" s="170"/>
      <c r="Q379" s="171"/>
      <c r="R379" s="173" t="s">
        <v>15</v>
      </c>
      <c r="S379" s="176"/>
      <c r="T379" s="8"/>
      <c r="U379" s="8"/>
      <c r="V379" s="8"/>
      <c r="W379" s="8"/>
      <c r="X379" s="8"/>
      <c r="Y379" s="8"/>
      <c r="Z379" s="8"/>
    </row>
    <row r="380" ht="22.5" customHeight="1">
      <c r="A380" s="9" t="str">
        <f t="shared" si="1"/>
        <v>LEA-0379</v>
      </c>
      <c r="B380" s="165">
        <v>46034.0</v>
      </c>
      <c r="C380" s="166" t="s">
        <v>39</v>
      </c>
      <c r="D380" s="166" t="s">
        <v>62</v>
      </c>
      <c r="E380" s="167" t="s">
        <v>416</v>
      </c>
      <c r="F380" s="167">
        <v>9.739319838E9</v>
      </c>
      <c r="G380" s="168"/>
      <c r="H380" s="168"/>
      <c r="I380" s="183" t="s">
        <v>667</v>
      </c>
      <c r="J380" s="167" t="s">
        <v>308</v>
      </c>
      <c r="K380" s="175" t="s">
        <v>77</v>
      </c>
      <c r="L380" s="167">
        <v>12.0</v>
      </c>
      <c r="M380" s="166" t="s">
        <v>16</v>
      </c>
      <c r="N380" s="169">
        <v>30.0</v>
      </c>
      <c r="O380" s="167">
        <v>7200.0</v>
      </c>
      <c r="P380" s="170"/>
      <c r="Q380" s="171"/>
      <c r="R380" s="173" t="s">
        <v>15</v>
      </c>
      <c r="S380" s="176"/>
      <c r="T380" s="8"/>
      <c r="U380" s="8"/>
      <c r="V380" s="8"/>
      <c r="W380" s="8"/>
      <c r="X380" s="8"/>
      <c r="Y380" s="8"/>
      <c r="Z380" s="8"/>
    </row>
    <row r="381" ht="22.5" customHeight="1">
      <c r="A381" s="9" t="str">
        <f t="shared" si="1"/>
        <v>LEA-0380</v>
      </c>
      <c r="B381" s="165">
        <v>46034.0</v>
      </c>
      <c r="C381" s="166" t="s">
        <v>39</v>
      </c>
      <c r="D381" s="166" t="s">
        <v>62</v>
      </c>
      <c r="E381" s="167" t="s">
        <v>668</v>
      </c>
      <c r="F381" s="167">
        <v>7.900181369E9</v>
      </c>
      <c r="G381" s="168"/>
      <c r="H381" s="168"/>
      <c r="I381" s="183" t="s">
        <v>669</v>
      </c>
      <c r="J381" s="167" t="s">
        <v>308</v>
      </c>
      <c r="K381" s="175" t="s">
        <v>77</v>
      </c>
      <c r="L381" s="167">
        <v>3.5</v>
      </c>
      <c r="M381" s="166" t="s">
        <v>16</v>
      </c>
      <c r="N381" s="169">
        <v>20.0</v>
      </c>
      <c r="O381" s="167">
        <v>2100.0</v>
      </c>
      <c r="P381" s="170"/>
      <c r="Q381" s="171"/>
      <c r="R381" s="173" t="s">
        <v>15</v>
      </c>
      <c r="S381" s="176"/>
      <c r="T381" s="8"/>
      <c r="U381" s="8"/>
      <c r="V381" s="8"/>
      <c r="W381" s="8"/>
      <c r="X381" s="8"/>
      <c r="Y381" s="8"/>
      <c r="Z381" s="8"/>
    </row>
    <row r="382" ht="22.5" customHeight="1">
      <c r="A382" s="9" t="str">
        <f t="shared" si="1"/>
        <v>LEA-0381</v>
      </c>
      <c r="B382" s="165">
        <v>46034.0</v>
      </c>
      <c r="C382" s="166" t="s">
        <v>39</v>
      </c>
      <c r="D382" s="166" t="s">
        <v>62</v>
      </c>
      <c r="E382" s="167" t="s">
        <v>670</v>
      </c>
      <c r="F382" s="167">
        <v>9.482128093E9</v>
      </c>
      <c r="G382" s="168"/>
      <c r="H382" s="168"/>
      <c r="I382" s="183" t="s">
        <v>669</v>
      </c>
      <c r="J382" s="167" t="s">
        <v>308</v>
      </c>
      <c r="K382" s="175" t="s">
        <v>77</v>
      </c>
      <c r="L382" s="167">
        <v>2.0</v>
      </c>
      <c r="M382" s="166" t="s">
        <v>16</v>
      </c>
      <c r="N382" s="169">
        <v>15.0</v>
      </c>
      <c r="O382" s="167">
        <v>1200.0</v>
      </c>
      <c r="P382" s="170"/>
      <c r="Q382" s="171"/>
      <c r="R382" s="173" t="s">
        <v>15</v>
      </c>
      <c r="S382" s="176"/>
      <c r="T382" s="8"/>
      <c r="U382" s="8"/>
      <c r="V382" s="8"/>
      <c r="W382" s="8"/>
      <c r="X382" s="8"/>
      <c r="Y382" s="8"/>
      <c r="Z382" s="8"/>
    </row>
    <row r="383" ht="22.5" customHeight="1">
      <c r="A383" s="9" t="str">
        <f t="shared" si="1"/>
        <v>LEA-0382</v>
      </c>
      <c r="B383" s="165">
        <v>46034.0</v>
      </c>
      <c r="C383" s="166" t="s">
        <v>39</v>
      </c>
      <c r="D383" s="166" t="s">
        <v>62</v>
      </c>
      <c r="E383" s="167" t="s">
        <v>671</v>
      </c>
      <c r="F383" s="167">
        <v>9.59152838E9</v>
      </c>
      <c r="G383" s="168"/>
      <c r="H383" s="168"/>
      <c r="I383" s="183" t="s">
        <v>629</v>
      </c>
      <c r="J383" s="167" t="s">
        <v>308</v>
      </c>
      <c r="K383" s="175" t="s">
        <v>77</v>
      </c>
      <c r="L383" s="167">
        <v>4.0</v>
      </c>
      <c r="M383" s="166" t="s">
        <v>16</v>
      </c>
      <c r="N383" s="169">
        <v>15.0</v>
      </c>
      <c r="O383" s="167">
        <v>2400.0</v>
      </c>
      <c r="P383" s="170"/>
      <c r="Q383" s="171"/>
      <c r="R383" s="173" t="s">
        <v>15</v>
      </c>
      <c r="S383" s="176"/>
      <c r="T383" s="8"/>
      <c r="U383" s="8"/>
      <c r="V383" s="8"/>
      <c r="W383" s="8"/>
      <c r="X383" s="8"/>
      <c r="Y383" s="8"/>
      <c r="Z383" s="8"/>
    </row>
    <row r="384" ht="22.5" customHeight="1">
      <c r="A384" s="9" t="str">
        <f t="shared" si="1"/>
        <v>LEA-0383</v>
      </c>
      <c r="B384" s="165">
        <v>46034.0</v>
      </c>
      <c r="C384" s="166" t="s">
        <v>39</v>
      </c>
      <c r="D384" s="166" t="s">
        <v>62</v>
      </c>
      <c r="E384" s="167" t="s">
        <v>672</v>
      </c>
      <c r="F384" s="167">
        <v>9.48145405E9</v>
      </c>
      <c r="G384" s="168"/>
      <c r="H384" s="168"/>
      <c r="I384" s="183" t="s">
        <v>673</v>
      </c>
      <c r="J384" s="167" t="s">
        <v>308</v>
      </c>
      <c r="K384" s="175" t="s">
        <v>77</v>
      </c>
      <c r="L384" s="167">
        <v>1.6</v>
      </c>
      <c r="M384" s="166" t="s">
        <v>16</v>
      </c>
      <c r="N384" s="169">
        <v>30.0</v>
      </c>
      <c r="O384" s="167">
        <v>1000.0</v>
      </c>
      <c r="P384" s="170"/>
      <c r="Q384" s="171"/>
      <c r="R384" s="173" t="s">
        <v>15</v>
      </c>
      <c r="S384" s="176"/>
      <c r="T384" s="8"/>
      <c r="U384" s="8"/>
      <c r="V384" s="8"/>
      <c r="W384" s="8"/>
      <c r="X384" s="8"/>
      <c r="Y384" s="8"/>
      <c r="Z384" s="8"/>
    </row>
    <row r="385" ht="22.5" customHeight="1">
      <c r="A385" s="9" t="str">
        <f t="shared" si="1"/>
        <v>LEA-0384</v>
      </c>
      <c r="B385" s="165">
        <v>46034.0</v>
      </c>
      <c r="C385" s="166" t="s">
        <v>39</v>
      </c>
      <c r="D385" s="166" t="s">
        <v>62</v>
      </c>
      <c r="E385" s="167" t="s">
        <v>674</v>
      </c>
      <c r="F385" s="167">
        <v>9.481473207E9</v>
      </c>
      <c r="G385" s="168"/>
      <c r="H385" s="168"/>
      <c r="I385" s="183" t="s">
        <v>675</v>
      </c>
      <c r="J385" s="167" t="s">
        <v>308</v>
      </c>
      <c r="K385" s="175" t="s">
        <v>77</v>
      </c>
      <c r="L385" s="167">
        <v>1.0</v>
      </c>
      <c r="M385" s="166" t="s">
        <v>16</v>
      </c>
      <c r="N385" s="169">
        <v>35.0</v>
      </c>
      <c r="O385" s="167">
        <v>900.0</v>
      </c>
      <c r="P385" s="170"/>
      <c r="Q385" s="171"/>
      <c r="R385" s="173" t="s">
        <v>15</v>
      </c>
      <c r="S385" s="176"/>
      <c r="T385" s="8"/>
      <c r="U385" s="8"/>
      <c r="V385" s="8"/>
      <c r="W385" s="8"/>
      <c r="X385" s="8"/>
      <c r="Y385" s="8"/>
      <c r="Z385" s="8"/>
    </row>
    <row r="386" ht="22.5" customHeight="1">
      <c r="A386" s="9" t="str">
        <f t="shared" si="1"/>
        <v/>
      </c>
      <c r="B386" s="165">
        <v>46040.0</v>
      </c>
      <c r="C386" s="166" t="s">
        <v>70</v>
      </c>
      <c r="D386" s="166" t="s">
        <v>62</v>
      </c>
      <c r="E386" s="167"/>
      <c r="F386" s="167"/>
      <c r="G386" s="168"/>
      <c r="H386" s="168"/>
      <c r="I386" s="182"/>
      <c r="J386" s="167"/>
      <c r="K386" s="175" t="s">
        <v>79</v>
      </c>
      <c r="L386" s="167"/>
      <c r="M386" s="166" t="s">
        <v>16</v>
      </c>
      <c r="N386" s="169"/>
      <c r="O386" s="167"/>
      <c r="P386" s="170"/>
      <c r="Q386" s="171"/>
      <c r="R386" s="173" t="s">
        <v>15</v>
      </c>
      <c r="S386" s="176"/>
      <c r="T386" s="8"/>
      <c r="U386" s="8"/>
      <c r="V386" s="8"/>
      <c r="W386" s="8"/>
      <c r="X386" s="8"/>
      <c r="Y386" s="8"/>
      <c r="Z386" s="8"/>
    </row>
    <row r="387" ht="22.5" customHeight="1">
      <c r="A387" s="9" t="str">
        <f t="shared" si="1"/>
        <v/>
      </c>
      <c r="B387" s="165">
        <v>46044.0</v>
      </c>
      <c r="C387" s="166" t="s">
        <v>70</v>
      </c>
      <c r="D387" s="166" t="s">
        <v>62</v>
      </c>
      <c r="E387" s="167"/>
      <c r="F387" s="167"/>
      <c r="G387" s="168"/>
      <c r="H387" s="168"/>
      <c r="I387" s="182"/>
      <c r="J387" s="167"/>
      <c r="K387" s="175" t="s">
        <v>79</v>
      </c>
      <c r="L387" s="167"/>
      <c r="M387" s="166" t="s">
        <v>16</v>
      </c>
      <c r="N387" s="169"/>
      <c r="O387" s="167"/>
      <c r="P387" s="170"/>
      <c r="Q387" s="171"/>
      <c r="R387" s="173" t="s">
        <v>15</v>
      </c>
      <c r="S387" s="176"/>
      <c r="T387" s="8"/>
      <c r="U387" s="8"/>
      <c r="V387" s="8"/>
      <c r="W387" s="8"/>
      <c r="X387" s="8"/>
      <c r="Y387" s="8"/>
      <c r="Z387" s="8"/>
    </row>
    <row r="388" ht="22.5" customHeight="1">
      <c r="A388" s="9" t="str">
        <f t="shared" si="1"/>
        <v>LEA-0387</v>
      </c>
      <c r="B388" s="165">
        <v>46046.0</v>
      </c>
      <c r="C388" s="166" t="s">
        <v>70</v>
      </c>
      <c r="D388" s="166" t="s">
        <v>62</v>
      </c>
      <c r="E388" s="167" t="s">
        <v>364</v>
      </c>
      <c r="F388" s="167">
        <v>9.845911436E9</v>
      </c>
      <c r="G388" s="168"/>
      <c r="H388" s="168"/>
      <c r="I388" s="182" t="s">
        <v>676</v>
      </c>
      <c r="J388" s="167" t="s">
        <v>230</v>
      </c>
      <c r="K388" s="175" t="s">
        <v>79</v>
      </c>
      <c r="L388" s="167">
        <v>40.0</v>
      </c>
      <c r="M388" s="166" t="s">
        <v>16</v>
      </c>
      <c r="N388" s="169">
        <v>25.0</v>
      </c>
      <c r="O388" s="167"/>
      <c r="P388" s="170"/>
      <c r="Q388" s="171"/>
      <c r="R388" s="173" t="s">
        <v>15</v>
      </c>
      <c r="S388" s="176"/>
      <c r="T388" s="8"/>
      <c r="U388" s="8"/>
      <c r="V388" s="8"/>
      <c r="W388" s="8"/>
      <c r="X388" s="8"/>
      <c r="Y388" s="8"/>
      <c r="Z388" s="8"/>
    </row>
    <row r="389" ht="22.5" customHeight="1">
      <c r="A389" s="9" t="str">
        <f t="shared" si="1"/>
        <v>LEA-0388</v>
      </c>
      <c r="B389" s="165">
        <v>46047.0</v>
      </c>
      <c r="C389" s="166" t="s">
        <v>70</v>
      </c>
      <c r="D389" s="166" t="s">
        <v>62</v>
      </c>
      <c r="E389" s="167" t="s">
        <v>297</v>
      </c>
      <c r="F389" s="167">
        <v>9.448521165E9</v>
      </c>
      <c r="G389" s="168"/>
      <c r="H389" s="168"/>
      <c r="I389" s="182"/>
      <c r="J389" s="167"/>
      <c r="K389" s="175"/>
      <c r="L389" s="167"/>
      <c r="M389" s="166"/>
      <c r="N389" s="169"/>
      <c r="O389" s="167"/>
      <c r="P389" s="170"/>
      <c r="Q389" s="171"/>
      <c r="R389" s="173" t="s">
        <v>15</v>
      </c>
      <c r="S389" s="176"/>
      <c r="T389" s="8"/>
      <c r="U389" s="8"/>
      <c r="V389" s="8"/>
      <c r="W389" s="8"/>
      <c r="X389" s="8"/>
      <c r="Y389" s="8"/>
      <c r="Z389" s="8"/>
    </row>
    <row r="390" ht="22.5" customHeight="1">
      <c r="A390" s="9" t="str">
        <f t="shared" si="1"/>
        <v>LEA-0389</v>
      </c>
      <c r="B390" s="165">
        <v>46047.0</v>
      </c>
      <c r="C390" s="166" t="s">
        <v>70</v>
      </c>
      <c r="D390" s="166" t="s">
        <v>62</v>
      </c>
      <c r="E390" s="167" t="s">
        <v>299</v>
      </c>
      <c r="F390" s="167"/>
      <c r="G390" s="168"/>
      <c r="H390" s="168"/>
      <c r="I390" s="182"/>
      <c r="J390" s="167"/>
      <c r="K390" s="175"/>
      <c r="L390" s="167"/>
      <c r="M390" s="166"/>
      <c r="N390" s="169"/>
      <c r="O390" s="167"/>
      <c r="P390" s="170"/>
      <c r="Q390" s="171"/>
      <c r="R390" s="173"/>
      <c r="S390" s="176"/>
      <c r="T390" s="8"/>
      <c r="U390" s="8"/>
      <c r="V390" s="8"/>
      <c r="W390" s="8"/>
      <c r="X390" s="8"/>
      <c r="Y390" s="8"/>
      <c r="Z390" s="8"/>
    </row>
    <row r="391" ht="22.5" customHeight="1">
      <c r="A391" s="9" t="str">
        <f t="shared" si="1"/>
        <v>LEA-0390</v>
      </c>
      <c r="B391" s="165">
        <v>46039.0</v>
      </c>
      <c r="C391" s="166" t="s">
        <v>70</v>
      </c>
      <c r="D391" s="166" t="s">
        <v>62</v>
      </c>
      <c r="E391" s="167" t="s">
        <v>160</v>
      </c>
      <c r="F391" s="167">
        <v>9.741159943E9</v>
      </c>
      <c r="G391" s="168"/>
      <c r="H391" s="168"/>
      <c r="I391" s="182" t="s">
        <v>677</v>
      </c>
      <c r="J391" s="167" t="s">
        <v>230</v>
      </c>
      <c r="K391" s="175" t="s">
        <v>79</v>
      </c>
      <c r="L391" s="167">
        <v>19.0</v>
      </c>
      <c r="M391" s="166" t="s">
        <v>16</v>
      </c>
      <c r="N391" s="169">
        <v>15.0</v>
      </c>
      <c r="O391" s="167">
        <v>9000.0</v>
      </c>
      <c r="P391" s="166" t="s">
        <v>18</v>
      </c>
      <c r="Q391" s="171"/>
      <c r="R391" s="173" t="s">
        <v>15</v>
      </c>
      <c r="S391" s="176"/>
      <c r="T391" s="8"/>
      <c r="U391" s="8"/>
      <c r="V391" s="8"/>
      <c r="W391" s="8"/>
      <c r="X391" s="8"/>
      <c r="Y391" s="8"/>
      <c r="Z391" s="8"/>
    </row>
    <row r="392" ht="22.5" customHeight="1">
      <c r="A392" s="9" t="str">
        <f t="shared" si="1"/>
        <v>LEA-0391</v>
      </c>
      <c r="B392" s="165">
        <v>46039.0</v>
      </c>
      <c r="C392" s="166" t="s">
        <v>70</v>
      </c>
      <c r="D392" s="166" t="s">
        <v>62</v>
      </c>
      <c r="E392" s="167" t="s">
        <v>678</v>
      </c>
      <c r="F392" s="167">
        <v>8.867849048E9</v>
      </c>
      <c r="G392" s="168"/>
      <c r="H392" s="168"/>
      <c r="I392" s="182" t="s">
        <v>677</v>
      </c>
      <c r="J392" s="167" t="s">
        <v>230</v>
      </c>
      <c r="K392" s="175" t="s">
        <v>79</v>
      </c>
      <c r="L392" s="167">
        <v>10.0</v>
      </c>
      <c r="M392" s="166" t="s">
        <v>16</v>
      </c>
      <c r="N392" s="169">
        <v>15.0</v>
      </c>
      <c r="O392" s="167">
        <v>5000.0</v>
      </c>
      <c r="P392" s="166" t="s">
        <v>18</v>
      </c>
      <c r="Q392" s="171"/>
      <c r="R392" s="173" t="s">
        <v>15</v>
      </c>
      <c r="S392" s="176"/>
      <c r="T392" s="8"/>
      <c r="U392" s="8"/>
      <c r="V392" s="8"/>
      <c r="W392" s="8"/>
      <c r="X392" s="8"/>
      <c r="Y392" s="8"/>
      <c r="Z392" s="8"/>
    </row>
    <row r="393" ht="22.5" customHeight="1">
      <c r="A393" s="9" t="str">
        <f t="shared" si="1"/>
        <v>LEA-0392</v>
      </c>
      <c r="B393" s="165">
        <v>46039.0</v>
      </c>
      <c r="C393" s="166" t="s">
        <v>70</v>
      </c>
      <c r="D393" s="166" t="s">
        <v>62</v>
      </c>
      <c r="E393" s="167" t="s">
        <v>223</v>
      </c>
      <c r="F393" s="167">
        <v>9.980309766E9</v>
      </c>
      <c r="G393" s="168"/>
      <c r="H393" s="168"/>
      <c r="I393" s="182" t="s">
        <v>679</v>
      </c>
      <c r="J393" s="167" t="s">
        <v>230</v>
      </c>
      <c r="K393" s="175" t="s">
        <v>79</v>
      </c>
      <c r="L393" s="167">
        <v>5.0</v>
      </c>
      <c r="M393" s="166" t="s">
        <v>16</v>
      </c>
      <c r="N393" s="169">
        <v>15.0</v>
      </c>
      <c r="O393" s="167">
        <v>2500.0</v>
      </c>
      <c r="P393" s="166" t="s">
        <v>18</v>
      </c>
      <c r="Q393" s="171"/>
      <c r="R393" s="173" t="s">
        <v>15</v>
      </c>
      <c r="S393" s="176"/>
      <c r="T393" s="8"/>
      <c r="U393" s="8"/>
      <c r="V393" s="8"/>
      <c r="W393" s="8"/>
      <c r="X393" s="8"/>
      <c r="Y393" s="8"/>
      <c r="Z393" s="8"/>
    </row>
    <row r="394" ht="22.5" customHeight="1">
      <c r="A394" s="9" t="str">
        <f t="shared" si="1"/>
        <v>LEA-0393</v>
      </c>
      <c r="B394" s="165">
        <v>46039.0</v>
      </c>
      <c r="C394" s="166" t="s">
        <v>70</v>
      </c>
      <c r="D394" s="166" t="s">
        <v>62</v>
      </c>
      <c r="E394" s="167" t="s">
        <v>374</v>
      </c>
      <c r="F394" s="167">
        <v>9.743468228E9</v>
      </c>
      <c r="G394" s="168"/>
      <c r="H394" s="168"/>
      <c r="I394" s="182" t="s">
        <v>679</v>
      </c>
      <c r="J394" s="167" t="s">
        <v>230</v>
      </c>
      <c r="K394" s="175" t="s">
        <v>79</v>
      </c>
      <c r="L394" s="167">
        <v>8.0</v>
      </c>
      <c r="M394" s="166" t="s">
        <v>16</v>
      </c>
      <c r="N394" s="169">
        <v>15.0</v>
      </c>
      <c r="O394" s="167">
        <v>4000.0</v>
      </c>
      <c r="P394" s="166" t="s">
        <v>18</v>
      </c>
      <c r="Q394" s="171"/>
      <c r="R394" s="173" t="s">
        <v>15</v>
      </c>
      <c r="S394" s="176"/>
      <c r="T394" s="8"/>
      <c r="U394" s="8"/>
      <c r="V394" s="8"/>
      <c r="W394" s="8"/>
      <c r="X394" s="8"/>
      <c r="Y394" s="8"/>
      <c r="Z394" s="8"/>
    </row>
    <row r="395" ht="22.5" customHeight="1">
      <c r="A395" s="9" t="str">
        <f t="shared" si="1"/>
        <v>LEA-0394</v>
      </c>
      <c r="B395" s="165">
        <v>46039.0</v>
      </c>
      <c r="C395" s="166" t="s">
        <v>70</v>
      </c>
      <c r="D395" s="166" t="s">
        <v>62</v>
      </c>
      <c r="E395" s="167" t="s">
        <v>337</v>
      </c>
      <c r="F395" s="167">
        <v>9.901880325E9</v>
      </c>
      <c r="G395" s="168"/>
      <c r="H395" s="168"/>
      <c r="I395" s="182" t="s">
        <v>680</v>
      </c>
      <c r="J395" s="167" t="s">
        <v>230</v>
      </c>
      <c r="K395" s="175" t="s">
        <v>79</v>
      </c>
      <c r="L395" s="167">
        <v>2.5</v>
      </c>
      <c r="M395" s="166" t="s">
        <v>16</v>
      </c>
      <c r="N395" s="169">
        <v>20.0</v>
      </c>
      <c r="O395" s="167">
        <v>1300.0</v>
      </c>
      <c r="P395" s="166" t="s">
        <v>18</v>
      </c>
      <c r="Q395" s="171"/>
      <c r="R395" s="173" t="s">
        <v>15</v>
      </c>
      <c r="S395" s="176"/>
      <c r="T395" s="8"/>
      <c r="U395" s="8"/>
      <c r="V395" s="8"/>
      <c r="W395" s="8"/>
      <c r="X395" s="8"/>
      <c r="Y395" s="8"/>
      <c r="Z395" s="8"/>
    </row>
    <row r="396" ht="22.5" customHeight="1">
      <c r="A396" s="9" t="str">
        <f t="shared" si="1"/>
        <v/>
      </c>
      <c r="B396" s="165"/>
      <c r="C396" s="166"/>
      <c r="D396" s="166"/>
      <c r="E396" s="167"/>
      <c r="F396" s="167"/>
      <c r="G396" s="168"/>
      <c r="H396" s="168"/>
      <c r="I396" s="182"/>
      <c r="J396" s="167"/>
      <c r="K396" s="175"/>
      <c r="L396" s="167"/>
      <c r="M396" s="166"/>
      <c r="N396" s="169"/>
      <c r="O396" s="167"/>
      <c r="P396" s="170"/>
      <c r="Q396" s="171"/>
      <c r="R396" s="173"/>
      <c r="S396" s="176"/>
      <c r="T396" s="8"/>
      <c r="U396" s="8"/>
      <c r="V396" s="8"/>
      <c r="W396" s="8"/>
      <c r="X396" s="8"/>
      <c r="Y396" s="8"/>
      <c r="Z396" s="8"/>
    </row>
    <row r="397" ht="22.5" customHeight="1">
      <c r="A397" s="9" t="str">
        <f t="shared" si="1"/>
        <v/>
      </c>
      <c r="B397" s="165"/>
      <c r="C397" s="166"/>
      <c r="D397" s="166"/>
      <c r="E397" s="167"/>
      <c r="F397" s="167"/>
      <c r="G397" s="168"/>
      <c r="H397" s="168"/>
      <c r="I397" s="182"/>
      <c r="J397" s="167"/>
      <c r="K397" s="175"/>
      <c r="L397" s="167"/>
      <c r="M397" s="166"/>
      <c r="N397" s="169"/>
      <c r="O397" s="167"/>
      <c r="P397" s="170"/>
      <c r="Q397" s="171"/>
      <c r="R397" s="173"/>
      <c r="S397" s="176"/>
      <c r="T397" s="8"/>
      <c r="U397" s="8"/>
      <c r="V397" s="8"/>
      <c r="W397" s="8"/>
      <c r="X397" s="8"/>
      <c r="Y397" s="8"/>
      <c r="Z397" s="8"/>
    </row>
    <row r="398" ht="22.5" customHeight="1">
      <c r="A398" s="9" t="str">
        <f t="shared" si="1"/>
        <v/>
      </c>
      <c r="B398" s="165"/>
      <c r="C398" s="166"/>
      <c r="D398" s="166"/>
      <c r="E398" s="167"/>
      <c r="F398" s="167"/>
      <c r="G398" s="168"/>
      <c r="H398" s="168"/>
      <c r="I398" s="182"/>
      <c r="J398" s="167"/>
      <c r="K398" s="175"/>
      <c r="L398" s="167"/>
      <c r="M398" s="166"/>
      <c r="N398" s="169"/>
      <c r="O398" s="167"/>
      <c r="P398" s="170"/>
      <c r="Q398" s="171"/>
      <c r="R398" s="173"/>
      <c r="S398" s="176"/>
      <c r="T398" s="8"/>
      <c r="U398" s="8"/>
      <c r="V398" s="8"/>
      <c r="W398" s="8"/>
      <c r="X398" s="8"/>
      <c r="Y398" s="8"/>
      <c r="Z398" s="8"/>
    </row>
    <row r="399" ht="22.5" customHeight="1">
      <c r="A399" s="9" t="str">
        <f t="shared" si="1"/>
        <v/>
      </c>
      <c r="B399" s="165"/>
      <c r="C399" s="166"/>
      <c r="D399" s="166"/>
      <c r="E399" s="167"/>
      <c r="F399" s="167"/>
      <c r="G399" s="168"/>
      <c r="H399" s="168"/>
      <c r="I399" s="182"/>
      <c r="J399" s="167"/>
      <c r="K399" s="175"/>
      <c r="L399" s="167"/>
      <c r="M399" s="166"/>
      <c r="N399" s="169"/>
      <c r="O399" s="167"/>
      <c r="P399" s="170"/>
      <c r="Q399" s="171"/>
      <c r="R399" s="173"/>
      <c r="S399" s="176"/>
      <c r="T399" s="8"/>
      <c r="U399" s="8"/>
      <c r="V399" s="8"/>
      <c r="W399" s="8"/>
      <c r="X399" s="8"/>
      <c r="Y399" s="8"/>
      <c r="Z399" s="8"/>
    </row>
    <row r="400" ht="22.5" customHeight="1">
      <c r="A400" s="9" t="str">
        <f t="shared" si="1"/>
        <v/>
      </c>
      <c r="B400" s="165"/>
      <c r="C400" s="166"/>
      <c r="D400" s="166"/>
      <c r="E400" s="167"/>
      <c r="F400" s="167"/>
      <c r="G400" s="168"/>
      <c r="H400" s="168"/>
      <c r="I400" s="182"/>
      <c r="J400" s="167"/>
      <c r="K400" s="175"/>
      <c r="L400" s="167"/>
      <c r="M400" s="166"/>
      <c r="N400" s="169"/>
      <c r="O400" s="167"/>
      <c r="P400" s="170"/>
      <c r="Q400" s="171"/>
      <c r="R400" s="173"/>
      <c r="S400" s="176"/>
      <c r="T400" s="8"/>
      <c r="U400" s="8"/>
      <c r="V400" s="8"/>
      <c r="W400" s="8"/>
      <c r="X400" s="8"/>
      <c r="Y400" s="8"/>
      <c r="Z400" s="8"/>
    </row>
    <row r="401" ht="22.5" customHeight="1">
      <c r="A401" s="9" t="str">
        <f t="shared" si="1"/>
        <v/>
      </c>
      <c r="B401" s="165"/>
      <c r="C401" s="166"/>
      <c r="D401" s="166"/>
      <c r="E401" s="167"/>
      <c r="F401" s="167"/>
      <c r="G401" s="168"/>
      <c r="H401" s="168"/>
      <c r="I401" s="182"/>
      <c r="J401" s="167"/>
      <c r="K401" s="175"/>
      <c r="L401" s="167"/>
      <c r="M401" s="166"/>
      <c r="N401" s="169"/>
      <c r="O401" s="167"/>
      <c r="P401" s="170"/>
      <c r="Q401" s="171"/>
      <c r="R401" s="173"/>
      <c r="S401" s="176"/>
      <c r="T401" s="8"/>
      <c r="U401" s="8"/>
      <c r="V401" s="8"/>
      <c r="W401" s="8"/>
      <c r="X401" s="8"/>
      <c r="Y401" s="8"/>
      <c r="Z401" s="8"/>
    </row>
    <row r="402" ht="22.5" customHeight="1">
      <c r="A402" s="9" t="str">
        <f t="shared" si="1"/>
        <v/>
      </c>
      <c r="B402" s="165"/>
      <c r="C402" s="166"/>
      <c r="D402" s="166"/>
      <c r="E402" s="167"/>
      <c r="F402" s="167"/>
      <c r="G402" s="168"/>
      <c r="H402" s="168"/>
      <c r="I402" s="182"/>
      <c r="J402" s="167"/>
      <c r="K402" s="175"/>
      <c r="L402" s="167"/>
      <c r="M402" s="166"/>
      <c r="N402" s="169"/>
      <c r="O402" s="167"/>
      <c r="P402" s="170"/>
      <c r="Q402" s="171"/>
      <c r="R402" s="173"/>
      <c r="S402" s="176"/>
      <c r="T402" s="8"/>
      <c r="U402" s="8"/>
      <c r="V402" s="8"/>
      <c r="W402" s="8"/>
      <c r="X402" s="8"/>
      <c r="Y402" s="8"/>
      <c r="Z402" s="8"/>
    </row>
    <row r="403" ht="22.5" customHeight="1">
      <c r="A403" s="9" t="str">
        <f t="shared" si="1"/>
        <v/>
      </c>
      <c r="B403" s="165"/>
      <c r="C403" s="166"/>
      <c r="D403" s="166"/>
      <c r="E403" s="167"/>
      <c r="F403" s="167"/>
      <c r="G403" s="168"/>
      <c r="H403" s="168"/>
      <c r="I403" s="182"/>
      <c r="J403" s="167"/>
      <c r="K403" s="175"/>
      <c r="L403" s="167"/>
      <c r="M403" s="166"/>
      <c r="N403" s="169"/>
      <c r="O403" s="167"/>
      <c r="P403" s="170"/>
      <c r="Q403" s="171"/>
      <c r="R403" s="173"/>
      <c r="S403" s="176"/>
      <c r="T403" s="8"/>
      <c r="U403" s="8"/>
      <c r="V403" s="8"/>
      <c r="W403" s="8"/>
      <c r="X403" s="8"/>
      <c r="Y403" s="8"/>
      <c r="Z403" s="8"/>
    </row>
    <row r="404" ht="22.5" customHeight="1">
      <c r="A404" s="9" t="str">
        <f t="shared" si="1"/>
        <v/>
      </c>
      <c r="B404" s="165"/>
      <c r="C404" s="166"/>
      <c r="D404" s="166"/>
      <c r="E404" s="167"/>
      <c r="F404" s="167"/>
      <c r="G404" s="168"/>
      <c r="H404" s="168"/>
      <c r="I404" s="182"/>
      <c r="J404" s="167"/>
      <c r="K404" s="175"/>
      <c r="L404" s="167"/>
      <c r="M404" s="166"/>
      <c r="N404" s="169"/>
      <c r="O404" s="167"/>
      <c r="P404" s="170"/>
      <c r="Q404" s="171"/>
      <c r="R404" s="173"/>
      <c r="S404" s="176"/>
      <c r="T404" s="8"/>
      <c r="U404" s="8"/>
      <c r="V404" s="8"/>
      <c r="W404" s="8"/>
      <c r="X404" s="8"/>
      <c r="Y404" s="8"/>
      <c r="Z404" s="8"/>
    </row>
    <row r="405" ht="22.5" customHeight="1">
      <c r="A405" s="9" t="str">
        <f t="shared" si="1"/>
        <v/>
      </c>
      <c r="B405" s="165"/>
      <c r="C405" s="166"/>
      <c r="D405" s="166"/>
      <c r="E405" s="167"/>
      <c r="F405" s="167"/>
      <c r="G405" s="168"/>
      <c r="H405" s="168"/>
      <c r="I405" s="182"/>
      <c r="J405" s="167"/>
      <c r="K405" s="175"/>
      <c r="L405" s="167"/>
      <c r="M405" s="166"/>
      <c r="N405" s="169"/>
      <c r="O405" s="167"/>
      <c r="P405" s="170"/>
      <c r="Q405" s="171"/>
      <c r="R405" s="173"/>
      <c r="S405" s="176"/>
      <c r="T405" s="8"/>
      <c r="U405" s="8"/>
      <c r="V405" s="8"/>
      <c r="W405" s="8"/>
      <c r="X405" s="8"/>
      <c r="Y405" s="8"/>
      <c r="Z405" s="8"/>
    </row>
    <row r="406" ht="22.5" customHeight="1">
      <c r="A406" s="9" t="str">
        <f t="shared" si="1"/>
        <v/>
      </c>
      <c r="B406" s="165"/>
      <c r="C406" s="166"/>
      <c r="D406" s="166"/>
      <c r="E406" s="167"/>
      <c r="F406" s="167"/>
      <c r="G406" s="168"/>
      <c r="H406" s="168"/>
      <c r="I406" s="182"/>
      <c r="J406" s="167"/>
      <c r="K406" s="175"/>
      <c r="L406" s="167"/>
      <c r="M406" s="166"/>
      <c r="N406" s="169"/>
      <c r="O406" s="167"/>
      <c r="P406" s="170"/>
      <c r="Q406" s="171"/>
      <c r="R406" s="173"/>
      <c r="S406" s="176"/>
      <c r="T406" s="8"/>
      <c r="U406" s="8"/>
      <c r="V406" s="8"/>
      <c r="W406" s="8"/>
      <c r="X406" s="8"/>
      <c r="Y406" s="8"/>
      <c r="Z406" s="8"/>
    </row>
    <row r="407" ht="22.5" customHeight="1">
      <c r="A407" s="9" t="str">
        <f t="shared" si="1"/>
        <v/>
      </c>
      <c r="B407" s="165"/>
      <c r="C407" s="166"/>
      <c r="D407" s="166"/>
      <c r="E407" s="167"/>
      <c r="F407" s="167"/>
      <c r="G407" s="168"/>
      <c r="H407" s="168"/>
      <c r="I407" s="182"/>
      <c r="J407" s="167"/>
      <c r="K407" s="175"/>
      <c r="L407" s="167"/>
      <c r="M407" s="166"/>
      <c r="N407" s="169"/>
      <c r="O407" s="167"/>
      <c r="P407" s="170"/>
      <c r="Q407" s="171"/>
      <c r="R407" s="173"/>
      <c r="S407" s="176"/>
      <c r="T407" s="8"/>
      <c r="U407" s="8"/>
      <c r="V407" s="8"/>
      <c r="W407" s="8"/>
      <c r="X407" s="8"/>
      <c r="Y407" s="8"/>
      <c r="Z407" s="8"/>
    </row>
    <row r="408" ht="22.5" customHeight="1">
      <c r="A408" s="9" t="str">
        <f t="shared" si="1"/>
        <v/>
      </c>
      <c r="B408" s="165"/>
      <c r="C408" s="166"/>
      <c r="D408" s="166"/>
      <c r="E408" s="167"/>
      <c r="F408" s="167"/>
      <c r="G408" s="168"/>
      <c r="H408" s="168"/>
      <c r="I408" s="182"/>
      <c r="J408" s="167"/>
      <c r="K408" s="175"/>
      <c r="L408" s="167"/>
      <c r="M408" s="166"/>
      <c r="N408" s="169"/>
      <c r="O408" s="167"/>
      <c r="P408" s="170"/>
      <c r="Q408" s="171"/>
      <c r="R408" s="173"/>
      <c r="S408" s="176"/>
      <c r="T408" s="8"/>
      <c r="U408" s="8"/>
      <c r="V408" s="8"/>
      <c r="W408" s="8"/>
      <c r="X408" s="8"/>
      <c r="Y408" s="8"/>
      <c r="Z408" s="8"/>
    </row>
    <row r="409" ht="22.5" customHeight="1">
      <c r="A409" s="9" t="str">
        <f t="shared" si="1"/>
        <v/>
      </c>
      <c r="B409" s="165"/>
      <c r="C409" s="166"/>
      <c r="D409" s="166"/>
      <c r="E409" s="167"/>
      <c r="F409" s="167"/>
      <c r="G409" s="168"/>
      <c r="H409" s="168"/>
      <c r="I409" s="182"/>
      <c r="J409" s="167"/>
      <c r="K409" s="175"/>
      <c r="L409" s="167"/>
      <c r="M409" s="166"/>
      <c r="N409" s="169"/>
      <c r="O409" s="167"/>
      <c r="P409" s="170"/>
      <c r="Q409" s="171"/>
      <c r="R409" s="173"/>
      <c r="S409" s="176"/>
      <c r="T409" s="8"/>
      <c r="U409" s="8"/>
      <c r="V409" s="8"/>
      <c r="W409" s="8"/>
      <c r="X409" s="8"/>
      <c r="Y409" s="8"/>
      <c r="Z409" s="8"/>
    </row>
    <row r="410" ht="22.5" customHeight="1">
      <c r="A410" s="9" t="str">
        <f t="shared" si="1"/>
        <v/>
      </c>
      <c r="B410" s="165"/>
      <c r="C410" s="166"/>
      <c r="D410" s="166"/>
      <c r="E410" s="167"/>
      <c r="F410" s="167"/>
      <c r="G410" s="168"/>
      <c r="H410" s="168"/>
      <c r="I410" s="182"/>
      <c r="J410" s="167"/>
      <c r="K410" s="175"/>
      <c r="L410" s="167"/>
      <c r="M410" s="166"/>
      <c r="N410" s="169"/>
      <c r="O410" s="167"/>
      <c r="P410" s="170"/>
      <c r="Q410" s="171"/>
      <c r="R410" s="173"/>
      <c r="S410" s="176"/>
      <c r="T410" s="8"/>
      <c r="U410" s="8"/>
      <c r="V410" s="8"/>
      <c r="W410" s="8"/>
      <c r="X410" s="8"/>
      <c r="Y410" s="8"/>
      <c r="Z410" s="8"/>
    </row>
    <row r="411" ht="22.5" customHeight="1">
      <c r="A411" s="9" t="str">
        <f t="shared" si="1"/>
        <v/>
      </c>
      <c r="B411" s="165"/>
      <c r="C411" s="166"/>
      <c r="D411" s="166"/>
      <c r="E411" s="167"/>
      <c r="F411" s="167"/>
      <c r="G411" s="168"/>
      <c r="H411" s="168"/>
      <c r="I411" s="182"/>
      <c r="J411" s="167"/>
      <c r="K411" s="175"/>
      <c r="L411" s="167"/>
      <c r="M411" s="166"/>
      <c r="N411" s="169"/>
      <c r="O411" s="167"/>
      <c r="P411" s="170"/>
      <c r="Q411" s="171"/>
      <c r="R411" s="173"/>
      <c r="S411" s="176"/>
      <c r="T411" s="8"/>
      <c r="U411" s="8"/>
      <c r="V411" s="8"/>
      <c r="W411" s="8"/>
      <c r="X411" s="8"/>
      <c r="Y411" s="8"/>
      <c r="Z411" s="8"/>
    </row>
    <row r="412">
      <c r="A412" s="8"/>
      <c r="C412" s="184"/>
      <c r="D412" s="8"/>
      <c r="E412" s="185"/>
      <c r="F412" s="185"/>
      <c r="G412" s="8"/>
      <c r="H412" s="8"/>
      <c r="I412" s="186"/>
      <c r="J412" s="18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C413" s="184"/>
      <c r="D413" s="8"/>
      <c r="E413" s="8"/>
      <c r="F413" s="185"/>
      <c r="G413" s="8"/>
      <c r="H413" s="8"/>
      <c r="I413" s="186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186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186"/>
      <c r="J415" s="8"/>
      <c r="K415" s="185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185" t="s">
        <v>681</v>
      </c>
      <c r="F416" s="8"/>
      <c r="G416" s="8"/>
      <c r="H416" s="8"/>
      <c r="I416" s="186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 t="str">
        <f t="shared" ref="A418:A420" si="4">IF(D417&lt;&gt;"", "LEA-"&amp;TEXT(ROW()-1, "0000"), "")</f>
        <v/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 t="str">
        <f t="shared" si="4"/>
        <v/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 t="str">
        <f t="shared" si="4"/>
        <v/>
      </c>
      <c r="B420" s="8"/>
      <c r="C420" s="8"/>
      <c r="D420" s="8"/>
      <c r="E420" s="8"/>
      <c r="F420" s="8"/>
      <c r="G420" s="8"/>
      <c r="H420" s="8"/>
      <c r="I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 t="str">
        <f>IF(E430&lt;&gt;"", "LEA-"&amp;TEXT(ROW()-1, "0000"), "")</f>
        <v/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 t="str">
        <f>IF(D431&lt;&gt;"", "LEA-"&amp;TEXT(ROW()-1, "0000"), "")</f>
        <v/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 t="str">
        <f t="shared" ref="A434:A455" si="5">IF(D433&lt;&gt;"", "LEA-"&amp;TEXT(ROW()-1, "0000"), "")</f>
        <v/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 t="str">
        <f t="shared" si="5"/>
        <v/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 t="str">
        <f t="shared" si="5"/>
        <v/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 t="str">
        <f t="shared" si="5"/>
        <v/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 t="str">
        <f t="shared" si="5"/>
        <v/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 t="str">
        <f t="shared" si="5"/>
        <v/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 t="str">
        <f t="shared" si="5"/>
        <v/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 t="str">
        <f t="shared" si="5"/>
        <v/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 t="str">
        <f t="shared" si="5"/>
        <v/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 t="str">
        <f t="shared" si="5"/>
        <v/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 t="str">
        <f t="shared" si="5"/>
        <v/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 t="str">
        <f t="shared" si="5"/>
        <v/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 t="str">
        <f t="shared" si="5"/>
        <v/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 t="str">
        <f t="shared" si="5"/>
        <v/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 t="str">
        <f t="shared" si="5"/>
        <v/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 t="str">
        <f t="shared" si="5"/>
        <v/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 t="str">
        <f t="shared" si="5"/>
        <v/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 t="str">
        <f t="shared" si="5"/>
        <v/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 t="str">
        <f t="shared" si="5"/>
        <v/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 t="str">
        <f t="shared" si="5"/>
        <v/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 t="str">
        <f t="shared" si="5"/>
        <v/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 t="str">
        <f t="shared" si="5"/>
        <v/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customHeight="1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customHeight="1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customHeight="1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customHeight="1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customHeight="1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customHeight="1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customHeight="1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customHeight="1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customHeight="1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customHeight="1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customHeight="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customHeight="1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customHeight="1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customHeight="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customHeight="1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customHeight="1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customHeight="1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customHeight="1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customHeight="1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customHeight="1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customHeight="1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customHeight="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customHeight="1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customHeight="1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customHeight="1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customHeight="1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customHeight="1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customHeight="1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customHeight="1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customHeight="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5.75" customHeight="1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5.75" customHeight="1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5.75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5.75" customHeight="1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5.75" customHeight="1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5.75" customHeight="1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5.75" customHeight="1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5.75" customHeight="1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5.75" customHeight="1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5.75" customHeight="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5.75" customHeight="1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5.75" customHeight="1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5.75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5.75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5.75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5.75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5.75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5.75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5.75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5.75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5.75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5.75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5.75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5.75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5.75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5.75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5.75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5.75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5.75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5.75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5.75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5.75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5.75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5.75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5.75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5.75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5.75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5.75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5.75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5.75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5.75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5.75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5.75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5.75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5.75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5.75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5.75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5.75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5.75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5.75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5.75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5.75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5.75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5.75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5.75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5.75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5.75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5.75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5.75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5.75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5.75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5.75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5.75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5.75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5.75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5.75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5.75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5.75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5.75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5.75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5.75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5.75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5.75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5.75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5.75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5.75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5.75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5.75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5.75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5.75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5.75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5.75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5.75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5.75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5.75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5.75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5.75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5.75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5.75" customHeight="1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5.75" customHeight="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5.75" customHeight="1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5.75" customHeight="1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5.75" customHeight="1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5.75" customHeight="1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5.75" customHeight="1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5.75" customHeight="1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5.75" customHeight="1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5.75" customHeight="1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5.75" customHeight="1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5.75" customHeight="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5.75" customHeight="1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5.75" customHeight="1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5.75" customHeight="1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5.75" customHeight="1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5.75" customHeight="1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5.75" customHeight="1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5.75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5.75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5.75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5.75" customHeight="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5.75" customHeight="1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5.75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5.75" customHeight="1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5.75" customHeight="1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5.75" customHeight="1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5.75" customHeight="1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5.75" customHeight="1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5.75" customHeight="1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5.75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5.75" customHeight="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5.75" customHeight="1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5.75" customHeight="1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5.75" customHeight="1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5.75" customHeight="1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5.75" customHeight="1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5.75" customHeight="1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5.75" customHeight="1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5.75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5.75" customHeight="1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5.75" customHeight="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5.75" customHeight="1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5.75" customHeight="1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5.75" customHeight="1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5.75" customHeight="1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5.75" customHeight="1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5.75" customHeight="1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5.75" customHeight="1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5.75" customHeight="1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5.75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5.75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5.75" customHeight="1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5.75" customHeight="1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5.75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5.75" customHeight="1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5.75" customHeight="1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5.75" customHeight="1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5.75" customHeight="1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5.75" customHeight="1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5.75" customHeight="1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5.75" customHeight="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5.75" customHeight="1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5.75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5.75" customHeight="1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5.75" customHeight="1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5.75" customHeight="1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5.75" customHeight="1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5.75" customHeight="1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5.75" customHeight="1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5.75" customHeight="1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5.75" customHeight="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5.75" customHeight="1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5.75" customHeight="1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5.75" customHeight="1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5.75" customHeight="1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5.75" customHeight="1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5.75" customHeight="1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5.75" customHeight="1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5.75" customHeight="1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5.75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5.75" customHeight="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5.75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5.75" customHeight="1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5.75" customHeight="1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5.75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5.75" customHeight="1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5.75" customHeight="1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5.75" customHeight="1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5.75" customHeight="1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5.75" customHeight="1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5.75" customHeight="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5.75" customHeight="1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5.75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5.75" customHeight="1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5.75" customHeight="1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5.75" customHeight="1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5.75" customHeight="1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5.75" customHeight="1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5.75" customHeight="1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5.75" customHeight="1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5.75" customHeight="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5.75" customHeight="1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5.75" customHeight="1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5.75" customHeight="1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5.75" customHeight="1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5.75" customHeight="1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5.75" customHeight="1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5.75" customHeight="1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5.75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5.75" customHeight="1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5.75" customHeight="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5.75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5.75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5.75" customHeight="1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5.75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5.75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5.75" customHeight="1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5.75" customHeight="1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5.75" customHeight="1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5.75" customHeight="1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5.75" customHeight="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5.75" customHeight="1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5.75" customHeight="1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5.75" customHeight="1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5.75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5.75" customHeight="1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5.75" customHeight="1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5.75" customHeight="1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5.75" customHeight="1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5.75" customHeight="1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5.75" customHeight="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</sheetData>
  <dataValidations>
    <dataValidation type="list" allowBlank="1" sqref="O249:O256">
      <formula1>LOOKUPS!$J$2:$J1421</formula1>
    </dataValidation>
    <dataValidation type="custom" allowBlank="1" showDropDown="1" sqref="B2:B411">
      <formula1>OR(NOT(ISERROR(DATEVALUE(B2))), AND(ISNUMBER(B2), LEFT(CELL("format", B2))="D"))</formula1>
    </dataValidation>
    <dataValidation type="custom" allowBlank="1" showDropDown="1" sqref="N2:N411">
      <formula1>AND(ISNUMBER(N2),(NOT(OR(NOT(ISERROR(DATEVALUE(N2))), AND(ISNUMBER(N2), LEFT(CELL("format", N2))="D")))))</formula1>
    </dataValidation>
    <dataValidation type="list" allowBlank="1" sqref="C2:D411 K2:K411 M2:M411 P2:P411 R2:R411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8.0"/>
    <col customWidth="1" min="3" max="6" width="19.86"/>
    <col customWidth="1" min="7" max="7" width="20.0"/>
    <col customWidth="1" min="8" max="8" width="20.86"/>
    <col customWidth="1" min="9" max="9" width="18.43"/>
    <col customWidth="1" min="10" max="10" width="21.0"/>
    <col customWidth="1" min="11" max="11" width="26.14"/>
    <col customWidth="1" min="12" max="12" width="30.0"/>
    <col customWidth="1" min="13" max="14" width="19.29"/>
    <col customWidth="1" min="15" max="15" width="16.14"/>
    <col customWidth="1" min="16" max="29" width="8.71"/>
  </cols>
  <sheetData>
    <row r="1" ht="33.75" customHeight="1">
      <c r="A1" s="187" t="s">
        <v>682</v>
      </c>
      <c r="B1" s="187" t="s">
        <v>103</v>
      </c>
      <c r="C1" s="187" t="s">
        <v>106</v>
      </c>
      <c r="D1" s="188" t="s">
        <v>683</v>
      </c>
      <c r="E1" s="188" t="s">
        <v>110</v>
      </c>
      <c r="F1" s="188" t="s">
        <v>111</v>
      </c>
      <c r="G1" s="188" t="s">
        <v>684</v>
      </c>
      <c r="H1" s="187" t="s">
        <v>685</v>
      </c>
      <c r="I1" s="187" t="s">
        <v>686</v>
      </c>
      <c r="J1" s="187" t="s">
        <v>11</v>
      </c>
      <c r="K1" s="187" t="s">
        <v>6</v>
      </c>
      <c r="L1" s="187" t="s">
        <v>687</v>
      </c>
      <c r="M1" s="188" t="s">
        <v>688</v>
      </c>
      <c r="N1" s="187" t="s">
        <v>689</v>
      </c>
      <c r="O1" s="187" t="s">
        <v>690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22.5" hidden="1" customHeight="1">
      <c r="A2" s="6" t="str">
        <f t="shared" ref="A2:A72" si="1">IF(B2&lt;&gt;"","FIE-"&amp;TEXT(ROW()-1,"0000"),"")
</f>
        <v>FIE-0001</v>
      </c>
      <c r="B2" s="189" t="s">
        <v>691</v>
      </c>
      <c r="C2" s="6" t="str">
        <f>IF(B2&lt;&gt;"",VLOOKUP(B2,LEADS!A:E,5,FALSE),"")
</f>
        <v>Natesh</v>
      </c>
      <c r="D2" s="190">
        <f>IF(B2&lt;&gt;"",VLOOKUP(B2,LEADS!A:F,6,FALSE),"")</f>
        <v>7483510354</v>
      </c>
      <c r="E2" s="190" t="str">
        <f>IF(B2&lt;&gt;"",VLOOKUP(B2,LEADS!A:I,9,FALSE),"")</f>
        <v>Kalyani Agrahara</v>
      </c>
      <c r="F2" s="190" t="str">
        <f>IF(B2&lt;&gt;"",VLOOKUP(B2,LEADS!A:J,10,FALSE),"")</f>
        <v>thirthahalli</v>
      </c>
      <c r="G2" s="191">
        <f>IF(B2&lt;&gt;"",VLOOKUP(B2,LEADS!A:O,15,FALSE),"")</f>
        <v>6600</v>
      </c>
      <c r="H2" s="190">
        <v>45956.0</v>
      </c>
      <c r="I2" s="190">
        <v>45963.0</v>
      </c>
      <c r="J2" s="189" t="s">
        <v>24</v>
      </c>
      <c r="K2" s="189" t="s">
        <v>19</v>
      </c>
      <c r="L2" s="6"/>
      <c r="M2" s="189" t="s">
        <v>692</v>
      </c>
      <c r="N2" s="190"/>
      <c r="O2" s="192" t="str">
        <f>IF(AND(ISBLANK(Field_Visit[Visit Actual Date]),NOT(ISBLANK(Field_Visit[Visit Scheduled Date]))),"Scheduled",IF(NOT(ISBLANK(Field_Visit[Visit Actual Date])),"Visited",""))
</f>
        <v>Visited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2.5" hidden="1" customHeight="1">
      <c r="A3" s="6" t="str">
        <f t="shared" si="1"/>
        <v>FIE-0002</v>
      </c>
      <c r="B3" s="189" t="s">
        <v>693</v>
      </c>
      <c r="C3" s="6" t="str">
        <f>IF(B3&lt;&gt;"",VLOOKUP(B3,LEADS!A:E,5,FALSE),"")
</f>
        <v>Dr Srinivas</v>
      </c>
      <c r="D3" s="190">
        <f>IF(B3&lt;&gt;"",VLOOKUP(B3,LEADS!A:F,6,FALSE),"")</f>
        <v>9448245065</v>
      </c>
      <c r="E3" s="190" t="str">
        <f>IF(B3&lt;&gt;"",VLOOKUP(B3,LEADS!A:I,9,FALSE),"")</f>
        <v>Kusarige</v>
      </c>
      <c r="F3" s="190" t="str">
        <f>IF(B3&lt;&gt;"",VLOOKUP(B3,LEADS!A:J,10,FALSE),"")</f>
        <v>Koppa</v>
      </c>
      <c r="G3" s="191">
        <f>IF(B3&lt;&gt;"",VLOOKUP(B3,LEADS!A:O,15,FALSE),"")</f>
        <v>2400</v>
      </c>
      <c r="H3" s="190">
        <v>45924.0</v>
      </c>
      <c r="I3" s="190">
        <v>45924.0</v>
      </c>
      <c r="J3" s="189" t="s">
        <v>24</v>
      </c>
      <c r="K3" s="189" t="s">
        <v>19</v>
      </c>
      <c r="L3" s="6"/>
      <c r="M3" s="189" t="s">
        <v>692</v>
      </c>
      <c r="N3" s="190">
        <v>45920.0</v>
      </c>
      <c r="O3" s="192" t="str">
        <f>IF(AND(ISBLANK(Field_Visit[Visit Actual Date]),NOT(ISBLANK(Field_Visit[Visit Scheduled Date]))),"Scheduled",IF(NOT(ISBLANK(Field_Visit[Visit Actual Date])),"Visited",""))
</f>
        <v>Visited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22.5" hidden="1" customHeight="1">
      <c r="A4" s="6" t="str">
        <f t="shared" si="1"/>
        <v>FIE-0003</v>
      </c>
      <c r="B4" s="189" t="s">
        <v>694</v>
      </c>
      <c r="C4" s="6" t="str">
        <f>IF(B4&lt;&gt;"",VLOOKUP(B4,LEADS!A:E,5,FALSE),"")
</f>
        <v>Asha Rani</v>
      </c>
      <c r="D4" s="190">
        <f>IF(B4&lt;&gt;"",VLOOKUP(B4,LEADS!A:F,6,FALSE),"")</f>
        <v>9620945945</v>
      </c>
      <c r="E4" s="190" t="str">
        <f>IF(B4&lt;&gt;"",VLOOKUP(B4,LEADS!A:I,9,FALSE),"")</f>
        <v>Kugulur</v>
      </c>
      <c r="F4" s="190" t="str">
        <f>IF(B4&lt;&gt;"",VLOOKUP(B4,LEADS!A:J,10,FALSE),"")</f>
        <v>Davanagere</v>
      </c>
      <c r="G4" s="191">
        <f>IF(B4&lt;&gt;"",VLOOKUP(B4,LEADS!A:O,15,FALSE),"")</f>
        <v>3800</v>
      </c>
      <c r="H4" s="190">
        <v>45933.0</v>
      </c>
      <c r="I4" s="190">
        <v>45933.0</v>
      </c>
      <c r="J4" s="189" t="s">
        <v>24</v>
      </c>
      <c r="K4" s="189" t="s">
        <v>19</v>
      </c>
      <c r="L4" s="6"/>
      <c r="M4" s="189" t="s">
        <v>692</v>
      </c>
      <c r="N4" s="190">
        <v>45957.0</v>
      </c>
      <c r="O4" s="192" t="str">
        <f>IF(AND(ISBLANK(Field_Visit[Visit Actual Date]),NOT(ISBLANK(Field_Visit[Visit Scheduled Date]))),"Scheduled",IF(NOT(ISBLANK(Field_Visit[Visit Actual Date])),"Visited",""))
</f>
        <v>Visited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2.5" hidden="1" customHeight="1">
      <c r="A5" s="6" t="str">
        <f t="shared" si="1"/>
        <v>FIE-0004</v>
      </c>
      <c r="B5" s="189" t="s">
        <v>695</v>
      </c>
      <c r="C5" s="6" t="str">
        <f>IF(B5&lt;&gt;"",VLOOKUP(B5,LEADS!A:E,5,FALSE),"")
</f>
        <v>Imran Syed Chand</v>
      </c>
      <c r="D5" s="190">
        <f>IF(B5&lt;&gt;"",VLOOKUP(B5,LEADS!A:F,6,FALSE),"")</f>
        <v>9845526274</v>
      </c>
      <c r="E5" s="190" t="str">
        <f>IF(B5&lt;&gt;"",VLOOKUP(B5,LEADS!A:I,9,FALSE),"")</f>
        <v>Hal Lakkavalli</v>
      </c>
      <c r="F5" s="190" t="str">
        <f>IF(B5&lt;&gt;"",VLOOKUP(B5,LEADS!A:J,10,FALSE),"")</f>
        <v>Shivamogga</v>
      </c>
      <c r="G5" s="191">
        <f>IF(B5&lt;&gt;"",VLOOKUP(B5,LEADS!A:O,15,FALSE),"")</f>
        <v>9000</v>
      </c>
      <c r="H5" s="190">
        <v>45928.0</v>
      </c>
      <c r="I5" s="190">
        <v>45928.0</v>
      </c>
      <c r="J5" s="189" t="s">
        <v>24</v>
      </c>
      <c r="K5" s="189" t="s">
        <v>59</v>
      </c>
      <c r="L5" s="6"/>
      <c r="M5" s="189" t="s">
        <v>692</v>
      </c>
      <c r="N5" s="190">
        <v>45929.0</v>
      </c>
      <c r="O5" s="192" t="str">
        <f>IF(AND(ISBLANK(Field_Visit[Visit Actual Date]),NOT(ISBLANK(Field_Visit[Visit Scheduled Date]))),"Scheduled",IF(NOT(ISBLANK(Field_Visit[Visit Actual Date])),"Visited",""))
</f>
        <v>Visited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2.5" hidden="1" customHeight="1">
      <c r="A6" s="6" t="str">
        <f t="shared" si="1"/>
        <v>FIE-0005</v>
      </c>
      <c r="B6" s="189" t="s">
        <v>696</v>
      </c>
      <c r="C6" s="6" t="str">
        <f>IF(B6&lt;&gt;"",VLOOKUP(B6,LEADS!A:E,5,FALSE),"")
</f>
        <v>Syed Basha</v>
      </c>
      <c r="D6" s="190">
        <f>IF(B6&lt;&gt;"",VLOOKUP(B6,LEADS!A:F,6,FALSE),"")</f>
        <v>9731159508</v>
      </c>
      <c r="E6" s="190" t="str">
        <f>IF(B6&lt;&gt;"",VLOOKUP(B6,LEADS!A:I,9,FALSE),"")</f>
        <v>K K Mugge</v>
      </c>
      <c r="F6" s="190" t="str">
        <f>IF(B6&lt;&gt;"",VLOOKUP(B6,LEADS!A:J,10,FALSE),"")</f>
        <v>Bhadravathi</v>
      </c>
      <c r="G6" s="191">
        <f>IF(B6&lt;&gt;"",VLOOKUP(B6,LEADS!A:O,15,FALSE),"")</f>
        <v>800</v>
      </c>
      <c r="H6" s="190">
        <v>45957.0</v>
      </c>
      <c r="I6" s="190">
        <v>45957.0</v>
      </c>
      <c r="J6" s="189" t="s">
        <v>24</v>
      </c>
      <c r="K6" s="189" t="s">
        <v>32</v>
      </c>
      <c r="L6" s="6"/>
      <c r="M6" s="189"/>
      <c r="N6" s="190">
        <v>45958.0</v>
      </c>
      <c r="O6" s="192" t="str">
        <f>IF(AND(ISBLANK(Field_Visit[Visit Actual Date]),NOT(ISBLANK(Field_Visit[Visit Scheduled Date]))),"Scheduled",IF(NOT(ISBLANK(Field_Visit[Visit Actual Date])),"Visited",""))
</f>
        <v>Visited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22.5" hidden="1" customHeight="1">
      <c r="A7" s="6" t="str">
        <f t="shared" si="1"/>
        <v>FIE-0006</v>
      </c>
      <c r="B7" s="189" t="s">
        <v>697</v>
      </c>
      <c r="C7" s="6" t="str">
        <f>IF(B7&lt;&gt;"",VLOOKUP(B7,LEADS!A:E,5,FALSE),"")
</f>
        <v>Raghu</v>
      </c>
      <c r="D7" s="190">
        <f>IF(B7&lt;&gt;"",VLOOKUP(B7,LEADS!A:F,6,FALSE),"")</f>
        <v>6362825605</v>
      </c>
      <c r="E7" s="190" t="str">
        <f>IF(B7&lt;&gt;"",VLOOKUP(B7,LEADS!A:I,9,FALSE),"")</f>
        <v>Mullukere</v>
      </c>
      <c r="F7" s="190" t="str">
        <f>IF(B7&lt;&gt;"",VLOOKUP(B7,LEADS!A:J,10,FALSE),"")</f>
        <v>Bhadravathi</v>
      </c>
      <c r="G7" s="191">
        <f>IF(B7&lt;&gt;"",VLOOKUP(B7,LEADS!A:O,15,FALSE),"")</f>
        <v>13000</v>
      </c>
      <c r="H7" s="190">
        <v>45957.0</v>
      </c>
      <c r="I7" s="190">
        <v>45957.0</v>
      </c>
      <c r="J7" s="189" t="s">
        <v>24</v>
      </c>
      <c r="K7" s="189" t="s">
        <v>32</v>
      </c>
      <c r="L7" s="6"/>
      <c r="M7" s="189"/>
      <c r="N7" s="190">
        <v>45958.0</v>
      </c>
      <c r="O7" s="192" t="str">
        <f>IF(AND(ISBLANK(Field_Visit[Visit Actual Date]),NOT(ISBLANK(Field_Visit[Visit Scheduled Date]))),"Scheduled",IF(NOT(ISBLANK(Field_Visit[Visit Actual Date])),"Visited",""))
</f>
        <v>Visited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22.5" hidden="1" customHeight="1">
      <c r="A8" s="6" t="str">
        <f t="shared" si="1"/>
        <v>FIE-0007</v>
      </c>
      <c r="B8" s="189" t="s">
        <v>698</v>
      </c>
      <c r="C8" s="6" t="str">
        <f>IF(B8&lt;&gt;"",VLOOKUP(B8,LEADS!A:E,5,FALSE),"")
</f>
        <v>Naveen</v>
      </c>
      <c r="D8" s="190">
        <f>IF(B8&lt;&gt;"",VLOOKUP(B8,LEADS!A:F,6,FALSE),"")</f>
        <v>8748905780</v>
      </c>
      <c r="E8" s="190" t="str">
        <f>IF(B8&lt;&gt;"",VLOOKUP(B8,LEADS!A:I,9,FALSE),"")</f>
        <v>Mullukere</v>
      </c>
      <c r="F8" s="190" t="str">
        <f>IF(B8&lt;&gt;"",VLOOKUP(B8,LEADS!A:J,10,FALSE),"")</f>
        <v>Bhadravathi</v>
      </c>
      <c r="G8" s="191">
        <f>IF(B8&lt;&gt;"",VLOOKUP(B8,LEADS!A:O,15,FALSE),"")</f>
        <v>800</v>
      </c>
      <c r="H8" s="190">
        <v>45957.0</v>
      </c>
      <c r="I8" s="190">
        <v>45957.0</v>
      </c>
      <c r="J8" s="189" t="s">
        <v>24</v>
      </c>
      <c r="K8" s="189" t="s">
        <v>32</v>
      </c>
      <c r="L8" s="6"/>
      <c r="M8" s="189"/>
      <c r="N8" s="190">
        <v>45958.0</v>
      </c>
      <c r="O8" s="192" t="str">
        <f>IF(AND(ISBLANK(Field_Visit[Visit Actual Date]),NOT(ISBLANK(Field_Visit[Visit Scheduled Date]))),"Scheduled",IF(NOT(ISBLANK(Field_Visit[Visit Actual Date])),"Visited",""))
</f>
        <v>Visited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22.5" hidden="1" customHeight="1">
      <c r="A9" s="6" t="str">
        <f t="shared" si="1"/>
        <v>FIE-0008</v>
      </c>
      <c r="B9" s="189" t="s">
        <v>699</v>
      </c>
      <c r="C9" s="6" t="str">
        <f>IF(B9&lt;&gt;"",VLOOKUP(B9,LEADS!A:E,5,FALSE),"")
</f>
        <v>Jabbar Saad</v>
      </c>
      <c r="D9" s="190">
        <f>IF(B9&lt;&gt;"",VLOOKUP(B9,LEADS!A:F,6,FALSE),"")</f>
        <v>9663715896</v>
      </c>
      <c r="E9" s="190" t="str">
        <f>IF(B9&lt;&gt;"",VLOOKUP(B9,LEADS!A:I,9,FALSE),"")</f>
        <v>Sitarampura</v>
      </c>
      <c r="F9" s="190" t="str">
        <f>IF(B9&lt;&gt;"",VLOOKUP(B9,LEADS!A:J,10,FALSE),"")</f>
        <v>Bhadravathi</v>
      </c>
      <c r="G9" s="191">
        <f>IF(B9&lt;&gt;"",VLOOKUP(B9,LEADS!A:O,15,FALSE),"")</f>
        <v>800</v>
      </c>
      <c r="H9" s="190">
        <v>45957.0</v>
      </c>
      <c r="I9" s="190">
        <v>45957.0</v>
      </c>
      <c r="J9" s="189" t="s">
        <v>24</v>
      </c>
      <c r="K9" s="189" t="s">
        <v>32</v>
      </c>
      <c r="L9" s="6"/>
      <c r="M9" s="189"/>
      <c r="N9" s="190">
        <v>45958.0</v>
      </c>
      <c r="O9" s="192" t="str">
        <f>IF(AND(ISBLANK(Field_Visit[Visit Actual Date]),NOT(ISBLANK(Field_Visit[Visit Scheduled Date]))),"Scheduled",IF(NOT(ISBLANK(Field_Visit[Visit Actual Date])),"Visited",""))
</f>
        <v>Visited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22.5" hidden="1" customHeight="1">
      <c r="A10" s="6" t="str">
        <f t="shared" si="1"/>
        <v>FIE-0009</v>
      </c>
      <c r="B10" s="189" t="s">
        <v>700</v>
      </c>
      <c r="C10" s="6" t="str">
        <f>IF(B10&lt;&gt;"",VLOOKUP(B10,LEADS!A:E,5,FALSE),"")
</f>
        <v>Jagadeesh</v>
      </c>
      <c r="D10" s="190">
        <f>IF(B10&lt;&gt;"",VLOOKUP(B10,LEADS!A:F,6,FALSE),"")</f>
        <v>9448207995</v>
      </c>
      <c r="E10" s="190" t="str">
        <f>IF(B10&lt;&gt;"",VLOOKUP(B10,LEADS!A:I,9,FALSE),"")</f>
        <v>Kuddli</v>
      </c>
      <c r="F10" s="190" t="str">
        <f>IF(B10&lt;&gt;"",VLOOKUP(B10,LEADS!A:J,10,FALSE),"")</f>
        <v>Shivamogga</v>
      </c>
      <c r="G10" s="191">
        <f>IF(B10&lt;&gt;"",VLOOKUP(B10,LEADS!A:O,15,FALSE),"")</f>
        <v>2000</v>
      </c>
      <c r="H10" s="190">
        <v>45957.0</v>
      </c>
      <c r="I10" s="190">
        <v>45957.0</v>
      </c>
      <c r="J10" s="189" t="s">
        <v>24</v>
      </c>
      <c r="K10" s="189" t="s">
        <v>32</v>
      </c>
      <c r="L10" s="6"/>
      <c r="M10" s="189"/>
      <c r="N10" s="190">
        <v>45958.0</v>
      </c>
      <c r="O10" s="192" t="str">
        <f>IF(AND(ISBLANK(Field_Visit[Visit Actual Date]),NOT(ISBLANK(Field_Visit[Visit Scheduled Date]))),"Scheduled",IF(NOT(ISBLANK(Field_Visit[Visit Actual Date])),"Visited",""))
</f>
        <v>Visited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22.5" hidden="1" customHeight="1">
      <c r="A11" s="6" t="str">
        <f t="shared" si="1"/>
        <v>FIE-0010</v>
      </c>
      <c r="B11" s="189" t="s">
        <v>701</v>
      </c>
      <c r="C11" s="6" t="str">
        <f>IF(B11&lt;&gt;"",VLOOKUP(B11,LEADS!A:E,5,FALSE),"")
</f>
        <v>Abdul Masjuad</v>
      </c>
      <c r="D11" s="190">
        <f>IF(B11&lt;&gt;"",VLOOKUP(B11,LEADS!A:F,6,FALSE),"")</f>
        <v>9980505837</v>
      </c>
      <c r="E11" s="190" t="str">
        <f>IF(B11&lt;&gt;"",VLOOKUP(B11,LEADS!A:I,9,FALSE),"")</f>
        <v>Kuddli</v>
      </c>
      <c r="F11" s="190" t="str">
        <f>IF(B11&lt;&gt;"",VLOOKUP(B11,LEADS!A:J,10,FALSE),"")</f>
        <v>Shivamogga</v>
      </c>
      <c r="G11" s="191">
        <f>IF(B11&lt;&gt;"",VLOOKUP(B11,LEADS!A:O,15,FALSE),"")</f>
        <v>2000</v>
      </c>
      <c r="H11" s="190">
        <v>45957.0</v>
      </c>
      <c r="I11" s="190">
        <v>45957.0</v>
      </c>
      <c r="J11" s="189" t="s">
        <v>24</v>
      </c>
      <c r="K11" s="189" t="s">
        <v>32</v>
      </c>
      <c r="L11" s="6"/>
      <c r="M11" s="189"/>
      <c r="N11" s="190">
        <v>45958.0</v>
      </c>
      <c r="O11" s="192" t="str">
        <f>IF(AND(ISBLANK(Field_Visit[Visit Actual Date]),NOT(ISBLANK(Field_Visit[Visit Scheduled Date]))),"Scheduled",IF(NOT(ISBLANK(Field_Visit[Visit Actual Date])),"Visited",""))
</f>
        <v>Visited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22.5" hidden="1" customHeight="1">
      <c r="A12" s="6" t="str">
        <f t="shared" si="1"/>
        <v>FIE-0011</v>
      </c>
      <c r="B12" s="189" t="s">
        <v>702</v>
      </c>
      <c r="C12" s="6" t="str">
        <f>IF(B12&lt;&gt;"",VLOOKUP(B12,LEADS!A:E,5,FALSE),"")
</f>
        <v>Jaradhan</v>
      </c>
      <c r="D12" s="190">
        <f>IF(B12&lt;&gt;"",VLOOKUP(B12,LEADS!A:F,6,FALSE),"")</f>
        <v>8549953806</v>
      </c>
      <c r="E12" s="190" t="str">
        <f>IF(B12&lt;&gt;"",VLOOKUP(B12,LEADS!A:I,9,FALSE),"")</f>
        <v>Kuddli</v>
      </c>
      <c r="F12" s="190" t="str">
        <f>IF(B12&lt;&gt;"",VLOOKUP(B12,LEADS!A:J,10,FALSE),"")</f>
        <v>Shivamogga</v>
      </c>
      <c r="G12" s="191">
        <f>IF(B12&lt;&gt;"",VLOOKUP(B12,LEADS!A:O,15,FALSE),"")</f>
        <v>8000</v>
      </c>
      <c r="H12" s="190">
        <v>45957.0</v>
      </c>
      <c r="I12" s="190">
        <v>45957.0</v>
      </c>
      <c r="J12" s="189" t="s">
        <v>24</v>
      </c>
      <c r="K12" s="189" t="s">
        <v>32</v>
      </c>
      <c r="L12" s="6"/>
      <c r="M12" s="189"/>
      <c r="N12" s="190">
        <v>45958.0</v>
      </c>
      <c r="O12" s="192" t="str">
        <f>IF(AND(ISBLANK(Field_Visit[Visit Actual Date]),NOT(ISBLANK(Field_Visit[Visit Scheduled Date]))),"Scheduled",IF(NOT(ISBLANK(Field_Visit[Visit Actual Date])),"Visited",""))
</f>
        <v>Visited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22.5" hidden="1" customHeight="1">
      <c r="A13" s="6" t="str">
        <f t="shared" si="1"/>
        <v>FIE-0012</v>
      </c>
      <c r="B13" s="189" t="s">
        <v>703</v>
      </c>
      <c r="C13" s="6" t="str">
        <f>IF(B13&lt;&gt;"",VLOOKUP(B13,LEADS!A:E,5,FALSE),"")
</f>
        <v>Krishna Murty</v>
      </c>
      <c r="D13" s="190">
        <f>IF(B13&lt;&gt;"",VLOOKUP(B13,LEADS!A:F,6,FALSE),"")</f>
        <v>7760472319</v>
      </c>
      <c r="E13" s="190" t="str">
        <f>IF(B13&lt;&gt;"",VLOOKUP(B13,LEADS!A:I,9,FALSE),"")</f>
        <v>Anavatti</v>
      </c>
      <c r="F13" s="190" t="str">
        <f>IF(B13&lt;&gt;"",VLOOKUP(B13,LEADS!A:J,10,FALSE),"")</f>
        <v>Holalkere</v>
      </c>
      <c r="G13" s="191">
        <f>IF(B13&lt;&gt;"",VLOOKUP(B13,LEADS!A:O,15,FALSE),"")</f>
        <v>10000</v>
      </c>
      <c r="H13" s="190">
        <v>45974.0</v>
      </c>
      <c r="I13" s="190"/>
      <c r="J13" s="189" t="s">
        <v>24</v>
      </c>
      <c r="K13" s="189"/>
      <c r="L13" s="6"/>
      <c r="M13" s="189"/>
      <c r="N13" s="190"/>
      <c r="O13" s="192" t="str">
        <f>IF(AND(ISBLANK(Field_Visit[Visit Actual Date]),NOT(ISBLANK(Field_Visit[Visit Scheduled Date]))),"Scheduled",IF(NOT(ISBLANK(Field_Visit[Visit Actual Date])),"Visited",""))
</f>
        <v>Scheduled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22.5" hidden="1" customHeight="1">
      <c r="A14" s="6" t="str">
        <f t="shared" si="1"/>
        <v>FIE-0013</v>
      </c>
      <c r="B14" s="189" t="s">
        <v>704</v>
      </c>
      <c r="C14" s="6" t="str">
        <f>IF(B14&lt;&gt;"",VLOOKUP(B14,LEADS!A:E,5,FALSE),"")
</f>
        <v>Prahaladh</v>
      </c>
      <c r="D14" s="190">
        <f>IF(B14&lt;&gt;"",VLOOKUP(B14,LEADS!A:F,6,FALSE),"")</f>
        <v>9448202287</v>
      </c>
      <c r="E14" s="190" t="str">
        <f>IF(B14&lt;&gt;"",VLOOKUP(B14,LEADS!A:I,9,FALSE),"")</f>
        <v>Kodihalli</v>
      </c>
      <c r="F14" s="190" t="str">
        <f>IF(B14&lt;&gt;"",VLOOKUP(B14,LEADS!A:J,10,FALSE),"")</f>
        <v>Kadur</v>
      </c>
      <c r="G14" s="191">
        <f>IF(B14&lt;&gt;"",VLOOKUP(B14,LEADS!A:O,15,FALSE),"")</f>
        <v>3000</v>
      </c>
      <c r="H14" s="190">
        <v>45974.0</v>
      </c>
      <c r="I14" s="190"/>
      <c r="J14" s="189" t="s">
        <v>24</v>
      </c>
      <c r="K14" s="189"/>
      <c r="L14" s="6"/>
      <c r="M14" s="189"/>
      <c r="N14" s="190"/>
      <c r="O14" s="192" t="str">
        <f>IF(AND(ISBLANK(Field_Visit[Visit Actual Date]),NOT(ISBLANK(Field_Visit[Visit Scheduled Date]))),"Scheduled",IF(NOT(ISBLANK(Field_Visit[Visit Actual Date])),"Visited",""))
</f>
        <v>Scheduled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22.5" hidden="1" customHeight="1">
      <c r="A15" s="6" t="str">
        <f t="shared" si="1"/>
        <v>FIE-0014</v>
      </c>
      <c r="B15" s="189" t="s">
        <v>705</v>
      </c>
      <c r="C15" s="6" t="str">
        <f>IF(B15&lt;&gt;"",VLOOKUP(B15,LEADS!A:E,5,FALSE),"")
</f>
        <v>Shabeer</v>
      </c>
      <c r="D15" s="190">
        <f>IF(B15&lt;&gt;"",VLOOKUP(B15,LEADS!A:F,6,FALSE),"")</f>
        <v>7019466482</v>
      </c>
      <c r="E15" s="190" t="str">
        <f>IF(B15&lt;&gt;"",VLOOKUP(B15,LEADS!A:I,9,FALSE),"")</f>
        <v>Naluru</v>
      </c>
      <c r="F15" s="190" t="str">
        <f>IF(B15&lt;&gt;"",VLOOKUP(B15,LEADS!A:J,10,FALSE),"")</f>
        <v>Thirthahalli</v>
      </c>
      <c r="G15" s="191">
        <f>IF(B15&lt;&gt;"",VLOOKUP(B15,LEADS!A:O,15,FALSE),"")</f>
        <v>3000</v>
      </c>
      <c r="H15" s="190">
        <v>45979.0</v>
      </c>
      <c r="I15" s="190"/>
      <c r="J15" s="189" t="s">
        <v>24</v>
      </c>
      <c r="K15" s="189"/>
      <c r="L15" s="6"/>
      <c r="M15" s="189"/>
      <c r="N15" s="190"/>
      <c r="O15" s="192" t="str">
        <f>IF(AND(ISBLANK(Field_Visit[Visit Actual Date]),NOT(ISBLANK(Field_Visit[Visit Scheduled Date]))),"Scheduled",IF(NOT(ISBLANK(Field_Visit[Visit Actual Date])),"Visited",""))
</f>
        <v>Scheduled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22.5" hidden="1" customHeight="1">
      <c r="A16" s="6" t="str">
        <f t="shared" si="1"/>
        <v>FIE-0015</v>
      </c>
      <c r="B16" s="189" t="s">
        <v>706</v>
      </c>
      <c r="C16" s="6" t="str">
        <f>IF(B16&lt;&gt;"",VLOOKUP(B16,LEADS!A:E,5,FALSE),"")
</f>
        <v>Mahaballesh</v>
      </c>
      <c r="D16" s="190">
        <f>IF(B16&lt;&gt;"",VLOOKUP(B16,LEADS!A:F,6,FALSE),"")</f>
        <v>9481950215</v>
      </c>
      <c r="E16" s="190" t="str">
        <f>IF(B16&lt;&gt;"",VLOOKUP(B16,LEADS!A:I,9,FALSE),"")</f>
        <v>Hasirumane</v>
      </c>
      <c r="F16" s="190" t="str">
        <f>IF(B16&lt;&gt;"",VLOOKUP(B16,LEADS!A:J,10,FALSE),"")</f>
        <v>Thirthahalli</v>
      </c>
      <c r="G16" s="191">
        <f>IF(B16&lt;&gt;"",VLOOKUP(B16,LEADS!A:O,15,FALSE),"")</f>
        <v>1200</v>
      </c>
      <c r="H16" s="190">
        <v>45979.0</v>
      </c>
      <c r="I16" s="190"/>
      <c r="J16" s="189" t="s">
        <v>24</v>
      </c>
      <c r="K16" s="189"/>
      <c r="L16" s="6"/>
      <c r="M16" s="189"/>
      <c r="N16" s="190"/>
      <c r="O16" s="192" t="str">
        <f>IF(AND(ISBLANK(Field_Visit[Visit Actual Date]),NOT(ISBLANK(Field_Visit[Visit Scheduled Date]))),"Scheduled",IF(NOT(ISBLANK(Field_Visit[Visit Actual Date])),"Visited",""))
</f>
        <v>Scheduled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22.5" hidden="1" customHeight="1">
      <c r="A17" s="6" t="str">
        <f t="shared" si="1"/>
        <v>FIE-0016</v>
      </c>
      <c r="B17" s="189" t="s">
        <v>707</v>
      </c>
      <c r="C17" s="6" t="str">
        <f>IF(B17&lt;&gt;"",VLOOKUP(B17,LEADS!A:E,5,FALSE),"")
</f>
        <v>Girish</v>
      </c>
      <c r="D17" s="190">
        <f>IF(B17&lt;&gt;"",VLOOKUP(B17,LEADS!A:F,6,FALSE),"")</f>
        <v>9480354283</v>
      </c>
      <c r="E17" s="190" t="str">
        <f>IF(B17&lt;&gt;"",VLOOKUP(B17,LEADS!A:I,9,FALSE),"")</f>
        <v>Savitrimane</v>
      </c>
      <c r="F17" s="190" t="str">
        <f>IF(B17&lt;&gt;"",VLOOKUP(B17,LEADS!A:J,10,FALSE),"")</f>
        <v>Thirthahalli</v>
      </c>
      <c r="G17" s="191">
        <f>IF(B17&lt;&gt;"",VLOOKUP(B17,LEADS!A:O,15,FALSE),"")</f>
        <v>400</v>
      </c>
      <c r="H17" s="190">
        <v>45979.0</v>
      </c>
      <c r="I17" s="190"/>
      <c r="J17" s="189" t="s">
        <v>24</v>
      </c>
      <c r="K17" s="189"/>
      <c r="L17" s="6"/>
      <c r="M17" s="189"/>
      <c r="N17" s="190"/>
      <c r="O17" s="192" t="str">
        <f>IF(AND(ISBLANK(Field_Visit[Visit Actual Date]),NOT(ISBLANK(Field_Visit[Visit Scheduled Date]))),"Scheduled",IF(NOT(ISBLANK(Field_Visit[Visit Actual Date])),"Visited",""))
</f>
        <v>Scheduled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22.5" hidden="1" customHeight="1">
      <c r="A18" s="6" t="str">
        <f t="shared" si="1"/>
        <v>FIE-0017</v>
      </c>
      <c r="B18" s="189" t="s">
        <v>708</v>
      </c>
      <c r="C18" s="6" t="str">
        <f>IF(B18&lt;&gt;"",VLOOKUP(B18,LEADS!A:E,5,FALSE),"")
</f>
        <v>Siddappa K.C</v>
      </c>
      <c r="D18" s="190">
        <f>IF(B18&lt;&gt;"",VLOOKUP(B18,LEADS!A:F,6,FALSE),"")</f>
        <v>9480505938</v>
      </c>
      <c r="E18" s="190" t="str">
        <f>IF(B18&lt;&gt;"",VLOOKUP(B18,LEADS!A:I,9,FALSE),"")</f>
        <v>Kanchinalu</v>
      </c>
      <c r="F18" s="190" t="str">
        <f>IF(B18&lt;&gt;"",VLOOKUP(B18,LEADS!A:J,10,FALSE),"")</f>
        <v>Thirthahalli</v>
      </c>
      <c r="G18" s="191">
        <f>IF(B18&lt;&gt;"",VLOOKUP(B18,LEADS!A:O,15,FALSE),"")</f>
        <v>400</v>
      </c>
      <c r="H18" s="190">
        <v>45979.0</v>
      </c>
      <c r="I18" s="190"/>
      <c r="J18" s="189" t="s">
        <v>24</v>
      </c>
      <c r="K18" s="189"/>
      <c r="L18" s="6"/>
      <c r="M18" s="189"/>
      <c r="N18" s="190"/>
      <c r="O18" s="192" t="str">
        <f>IF(AND(ISBLANK(Field_Visit[Visit Actual Date]),NOT(ISBLANK(Field_Visit[Visit Scheduled Date]))),"Scheduled",IF(NOT(ISBLANK(Field_Visit[Visit Actual Date])),"Visited",""))
</f>
        <v>Scheduled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22.5" hidden="1" customHeight="1">
      <c r="A19" s="6" t="str">
        <f t="shared" si="1"/>
        <v>FIE-0018</v>
      </c>
      <c r="B19" s="189" t="s">
        <v>709</v>
      </c>
      <c r="C19" s="6" t="str">
        <f>IF(B19&lt;&gt;"",VLOOKUP(B19,LEADS!A:E,5,FALSE),"")
</f>
        <v>Ashiq</v>
      </c>
      <c r="D19" s="190">
        <f>IF(B19&lt;&gt;"",VLOOKUP(B19,LEADS!A:F,6,FALSE),"")</f>
        <v>7899154604</v>
      </c>
      <c r="E19" s="190" t="str">
        <f>IF(B19&lt;&gt;"",VLOOKUP(B19,LEADS!A:I,9,FALSE),"")</f>
        <v>Neralakoduge</v>
      </c>
      <c r="F19" s="190" t="str">
        <f>IF(B19&lt;&gt;"",VLOOKUP(B19,LEADS!A:J,10,FALSE),"")</f>
        <v>Thirthahalli</v>
      </c>
      <c r="G19" s="191">
        <f>IF(B19&lt;&gt;"",VLOOKUP(B19,LEADS!A:O,15,FALSE),"")</f>
        <v>400</v>
      </c>
      <c r="H19" s="190">
        <v>45979.0</v>
      </c>
      <c r="I19" s="190"/>
      <c r="J19" s="189" t="s">
        <v>24</v>
      </c>
      <c r="K19" s="189"/>
      <c r="L19" s="6"/>
      <c r="M19" s="189"/>
      <c r="N19" s="190"/>
      <c r="O19" s="192" t="str">
        <f>IF(AND(ISBLANK(Field_Visit[Visit Actual Date]),NOT(ISBLANK(Field_Visit[Visit Scheduled Date]))),"Scheduled",IF(NOT(ISBLANK(Field_Visit[Visit Actual Date])),"Visited",""))
</f>
        <v>Scheduled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22.5" hidden="1" customHeight="1">
      <c r="A20" s="6" t="str">
        <f t="shared" si="1"/>
        <v>FIE-0019</v>
      </c>
      <c r="B20" s="189" t="s">
        <v>710</v>
      </c>
      <c r="C20" s="6" t="str">
        <f>IF(B20&lt;&gt;"",VLOOKUP(B20,LEADS!A:E,5,FALSE),"")
</f>
        <v>Rabort</v>
      </c>
      <c r="D20" s="190">
        <f>IF(B20&lt;&gt;"",VLOOKUP(B20,LEADS!A:F,6,FALSE),"")</f>
        <v>9449390925</v>
      </c>
      <c r="E20" s="190" t="str">
        <f>IF(B20&lt;&gt;"",VLOOKUP(B20,LEADS!A:I,9,FALSE),"")</f>
        <v>Kalyani Agrahara</v>
      </c>
      <c r="F20" s="190" t="str">
        <f>IF(B20&lt;&gt;"",VLOOKUP(B20,LEADS!A:J,10,FALSE),"")</f>
        <v>Thirthahalli</v>
      </c>
      <c r="G20" s="191">
        <f>IF(B20&lt;&gt;"",VLOOKUP(B20,LEADS!A:O,15,FALSE),"")</f>
        <v>4000</v>
      </c>
      <c r="H20" s="190">
        <v>45979.0</v>
      </c>
      <c r="I20" s="190"/>
      <c r="J20" s="189" t="s">
        <v>24</v>
      </c>
      <c r="K20" s="189"/>
      <c r="L20" s="6"/>
      <c r="M20" s="189"/>
      <c r="N20" s="190"/>
      <c r="O20" s="192" t="str">
        <f>IF(AND(ISBLANK(Field_Visit[Visit Actual Date]),NOT(ISBLANK(Field_Visit[Visit Scheduled Date]))),"Scheduled",IF(NOT(ISBLANK(Field_Visit[Visit Actual Date])),"Visited",""))
</f>
        <v>Scheduled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22.5" hidden="1" customHeight="1">
      <c r="A21" s="6" t="str">
        <f t="shared" si="1"/>
        <v>FIE-0020</v>
      </c>
      <c r="B21" s="189" t="s">
        <v>711</v>
      </c>
      <c r="C21" s="6" t="str">
        <f>IF(B21&lt;&gt;"",VLOOKUP(B21,LEADS!A:E,5,FALSE),"")
</f>
        <v>Sunil kumar</v>
      </c>
      <c r="D21" s="190">
        <f>IF(B21&lt;&gt;"",VLOOKUP(B21,LEADS!A:F,6,FALSE),"")</f>
        <v>7975242855</v>
      </c>
      <c r="E21" s="190" t="str">
        <f>IF(B21&lt;&gt;"",VLOOKUP(B21,LEADS!A:I,9,FALSE),"")</f>
        <v>Rameshwar</v>
      </c>
      <c r="F21" s="190" t="str">
        <f>IF(B21&lt;&gt;"",VLOOKUP(B21,LEADS!A:J,10,FALSE),"")</f>
        <v>Savlanga</v>
      </c>
      <c r="G21" s="191">
        <f>IF(B21&lt;&gt;"",VLOOKUP(B21,LEADS!A:O,15,FALSE),"")</f>
        <v>1080</v>
      </c>
      <c r="H21" s="190">
        <v>45980.0</v>
      </c>
      <c r="I21" s="190"/>
      <c r="J21" s="189" t="s">
        <v>24</v>
      </c>
      <c r="K21" s="189"/>
      <c r="L21" s="6"/>
      <c r="M21" s="189"/>
      <c r="N21" s="190"/>
      <c r="O21" s="192" t="str">
        <f>IF(AND(ISBLANK(Field_Visit[Visit Actual Date]),NOT(ISBLANK(Field_Visit[Visit Scheduled Date]))),"Scheduled",IF(NOT(ISBLANK(Field_Visit[Visit Actual Date])),"Visited",""))
</f>
        <v>Scheduled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22.5" hidden="1" customHeight="1">
      <c r="A22" s="6" t="str">
        <f t="shared" si="1"/>
        <v>FIE-0021</v>
      </c>
      <c r="B22" s="189" t="s">
        <v>712</v>
      </c>
      <c r="C22" s="6" t="str">
        <f>IF(B22&lt;&gt;"",VLOOKUP(B22,LEADS!A:E,5,FALSE),"")
</f>
        <v>Kumar Swamy</v>
      </c>
      <c r="D22" s="190">
        <f>IF(B22&lt;&gt;"",VLOOKUP(B22,LEADS!A:F,6,FALSE),"")</f>
        <v>9986771949</v>
      </c>
      <c r="E22" s="190" t="str">
        <f>IF(B22&lt;&gt;"",VLOOKUP(B22,LEADS!A:I,9,FALSE),"")</f>
        <v>Sogilu</v>
      </c>
      <c r="F22" s="190" t="str">
        <f>IF(B22&lt;&gt;"",VLOOKUP(B22,LEADS!A:J,10,FALSE),"")</f>
        <v>Savlanga</v>
      </c>
      <c r="G22" s="191">
        <f>IF(B22&lt;&gt;"",VLOOKUP(B22,LEADS!A:O,15,FALSE),"")</f>
        <v>1800</v>
      </c>
      <c r="H22" s="190">
        <v>45980.0</v>
      </c>
      <c r="I22" s="190"/>
      <c r="J22" s="189" t="s">
        <v>24</v>
      </c>
      <c r="K22" s="189"/>
      <c r="L22" s="6"/>
      <c r="M22" s="189"/>
      <c r="N22" s="190"/>
      <c r="O22" s="192" t="str">
        <f>IF(AND(ISBLANK(Field_Visit[Visit Actual Date]),NOT(ISBLANK(Field_Visit[Visit Scheduled Date]))),"Scheduled",IF(NOT(ISBLANK(Field_Visit[Visit Actual Date])),"Visited",""))
</f>
        <v>Scheduled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22.5" hidden="1" customHeight="1">
      <c r="A23" s="6" t="str">
        <f t="shared" si="1"/>
        <v>FIE-0022</v>
      </c>
      <c r="B23" s="189" t="s">
        <v>713</v>
      </c>
      <c r="C23" s="6" t="str">
        <f>IF(B23&lt;&gt;"",VLOOKUP(B23,LEADS!A:E,5,FALSE),"")
</f>
        <v>Nagaraj H</v>
      </c>
      <c r="D23" s="190">
        <f>IF(B23&lt;&gt;"",VLOOKUP(B23,LEADS!A:F,6,FALSE),"")</f>
        <v>8792444217</v>
      </c>
      <c r="E23" s="190" t="str">
        <f>IF(B23&lt;&gt;"",VLOOKUP(B23,LEADS!A:I,9,FALSE),"")</f>
        <v>Rameshwar</v>
      </c>
      <c r="F23" s="190" t="str">
        <f>IF(B23&lt;&gt;"",VLOOKUP(B23,LEADS!A:J,10,FALSE),"")</f>
        <v>Savlanga</v>
      </c>
      <c r="G23" s="191">
        <f>IF(B23&lt;&gt;"",VLOOKUP(B23,LEADS!A:O,15,FALSE),"")</f>
        <v>450</v>
      </c>
      <c r="H23" s="190">
        <v>45980.0</v>
      </c>
      <c r="I23" s="190"/>
      <c r="J23" s="189" t="s">
        <v>24</v>
      </c>
      <c r="K23" s="189"/>
      <c r="L23" s="6"/>
      <c r="M23" s="189"/>
      <c r="N23" s="190"/>
      <c r="O23" s="192" t="str">
        <f>IF(AND(ISBLANK(Field_Visit[Visit Actual Date]),NOT(ISBLANK(Field_Visit[Visit Scheduled Date]))),"Scheduled",IF(NOT(ISBLANK(Field_Visit[Visit Actual Date])),"Visited",""))
</f>
        <v>Scheduled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22.5" hidden="1" customHeight="1">
      <c r="A24" s="6" t="str">
        <f t="shared" si="1"/>
        <v>FIE-0023</v>
      </c>
      <c r="B24" s="189" t="s">
        <v>714</v>
      </c>
      <c r="C24" s="6" t="str">
        <f>IF(B24&lt;&gt;"",VLOOKUP(B24,LEADS!A:E,5,FALSE),"")
</f>
        <v>Mahesh</v>
      </c>
      <c r="D24" s="190">
        <f>IF(B24&lt;&gt;"",VLOOKUP(B24,LEADS!A:F,6,FALSE),"")</f>
        <v>9986457008</v>
      </c>
      <c r="E24" s="190" t="str">
        <f>IF(B24&lt;&gt;"",VLOOKUP(B24,LEADS!A:I,9,FALSE),"")</f>
        <v>Bikanahalli</v>
      </c>
      <c r="F24" s="190" t="str">
        <f>IF(B24&lt;&gt;"",VLOOKUP(B24,LEADS!A:J,10,FALSE),"")</f>
        <v>Savlanga</v>
      </c>
      <c r="G24" s="191">
        <f>IF(B24&lt;&gt;"",VLOOKUP(B24,LEADS!A:O,15,FALSE),"")</f>
        <v>5000</v>
      </c>
      <c r="H24" s="190">
        <v>45980.0</v>
      </c>
      <c r="I24" s="190"/>
      <c r="J24" s="189" t="s">
        <v>24</v>
      </c>
      <c r="K24" s="189"/>
      <c r="L24" s="6"/>
      <c r="M24" s="189"/>
      <c r="N24" s="190"/>
      <c r="O24" s="192" t="str">
        <f>IF(AND(ISBLANK(Field_Visit[Visit Actual Date]),NOT(ISBLANK(Field_Visit[Visit Scheduled Date]))),"Scheduled",IF(NOT(ISBLANK(Field_Visit[Visit Actual Date])),"Visited",""))
</f>
        <v>Scheduled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22.5" hidden="1" customHeight="1">
      <c r="A25" s="6" t="str">
        <f t="shared" si="1"/>
        <v>FIE-0024</v>
      </c>
      <c r="B25" s="189" t="s">
        <v>715</v>
      </c>
      <c r="C25" s="6" t="str">
        <f>IF(B25&lt;&gt;"",VLOOKUP(B25,LEADS!A:E,5,FALSE),"")
</f>
        <v>Jeevan</v>
      </c>
      <c r="D25" s="190">
        <f>IF(B25&lt;&gt;"",VLOOKUP(B25,LEADS!A:F,6,FALSE),"")</f>
        <v>7996709365</v>
      </c>
      <c r="E25" s="190" t="str">
        <f>IF(B25&lt;&gt;"",VLOOKUP(B25,LEADS!A:I,9,FALSE),"")</f>
        <v>Sogilu</v>
      </c>
      <c r="F25" s="190" t="str">
        <f>IF(B25&lt;&gt;"",VLOOKUP(B25,LEADS!A:J,10,FALSE),"")</f>
        <v>Savlanga</v>
      </c>
      <c r="G25" s="191">
        <f>IF(B25&lt;&gt;"",VLOOKUP(B25,LEADS!A:O,15,FALSE),"")</f>
        <v>1200</v>
      </c>
      <c r="H25" s="190">
        <v>45980.0</v>
      </c>
      <c r="I25" s="190"/>
      <c r="J25" s="189" t="s">
        <v>24</v>
      </c>
      <c r="K25" s="189"/>
      <c r="L25" s="6"/>
      <c r="M25" s="189"/>
      <c r="N25" s="190"/>
      <c r="O25" s="192" t="str">
        <f>IF(AND(ISBLANK(Field_Visit[Visit Actual Date]),NOT(ISBLANK(Field_Visit[Visit Scheduled Date]))),"Scheduled",IF(NOT(ISBLANK(Field_Visit[Visit Actual Date])),"Visited",""))
</f>
        <v>Scheduled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22.5" hidden="1" customHeight="1">
      <c r="A26" s="6" t="str">
        <f t="shared" si="1"/>
        <v>FIE-0025</v>
      </c>
      <c r="B26" s="189" t="s">
        <v>716</v>
      </c>
      <c r="C26" s="6" t="str">
        <f>IF(B26&lt;&gt;"",VLOOKUP(B26,LEADS!A:E,5,FALSE),"")
</f>
        <v>Chetan</v>
      </c>
      <c r="D26" s="190">
        <f>IF(B26&lt;&gt;"",VLOOKUP(B26,LEADS!A:F,6,FALSE),"")</f>
        <v>8139986425</v>
      </c>
      <c r="E26" s="190" t="str">
        <f>IF(B26&lt;&gt;"",VLOOKUP(B26,LEADS!A:I,9,FALSE),"")</f>
        <v>Sogilu</v>
      </c>
      <c r="F26" s="190" t="str">
        <f>IF(B26&lt;&gt;"",VLOOKUP(B26,LEADS!A:J,10,FALSE),"")</f>
        <v>Savlanga</v>
      </c>
      <c r="G26" s="191">
        <f>IF(B26&lt;&gt;"",VLOOKUP(B26,LEADS!A:O,15,FALSE),"")</f>
        <v>1200</v>
      </c>
      <c r="H26" s="190">
        <v>45980.0</v>
      </c>
      <c r="I26" s="190"/>
      <c r="J26" s="189" t="s">
        <v>24</v>
      </c>
      <c r="K26" s="189"/>
      <c r="L26" s="6"/>
      <c r="M26" s="189"/>
      <c r="N26" s="190"/>
      <c r="O26" s="192" t="str">
        <f>IF(AND(ISBLANK(Field_Visit[Visit Actual Date]),NOT(ISBLANK(Field_Visit[Visit Scheduled Date]))),"Scheduled",IF(NOT(ISBLANK(Field_Visit[Visit Actual Date])),"Visited",""))
</f>
        <v>Scheduled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22.5" hidden="1" customHeight="1">
      <c r="A27" s="6" t="str">
        <f t="shared" si="1"/>
        <v>FIE-0026</v>
      </c>
      <c r="B27" s="189" t="s">
        <v>717</v>
      </c>
      <c r="C27" s="6" t="str">
        <f>IF(B27&lt;&gt;"",VLOOKUP(B27,LEADS!A:E,5,FALSE),"")
</f>
        <v>Gurumurthy</v>
      </c>
      <c r="D27" s="190">
        <f>IF(B27&lt;&gt;"",VLOOKUP(B27,LEADS!A:F,6,FALSE),"")</f>
        <v>9986904545</v>
      </c>
      <c r="E27" s="190" t="str">
        <f>IF(B27&lt;&gt;"",VLOOKUP(B27,LEADS!A:I,9,FALSE),"")</f>
        <v>Sogilu</v>
      </c>
      <c r="F27" s="190" t="str">
        <f>IF(B27&lt;&gt;"",VLOOKUP(B27,LEADS!A:J,10,FALSE),"")</f>
        <v>Savlanga</v>
      </c>
      <c r="G27" s="191">
        <f>IF(B27&lt;&gt;"",VLOOKUP(B27,LEADS!A:O,15,FALSE),"")</f>
        <v>1200</v>
      </c>
      <c r="H27" s="190">
        <v>45980.0</v>
      </c>
      <c r="I27" s="190"/>
      <c r="J27" s="189" t="s">
        <v>24</v>
      </c>
      <c r="K27" s="189"/>
      <c r="L27" s="6"/>
      <c r="M27" s="189"/>
      <c r="N27" s="190"/>
      <c r="O27" s="192" t="str">
        <f>IF(AND(ISBLANK(Field_Visit[Visit Actual Date]),NOT(ISBLANK(Field_Visit[Visit Scheduled Date]))),"Scheduled",IF(NOT(ISBLANK(Field_Visit[Visit Actual Date])),"Visited",""))
</f>
        <v>Scheduled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22.5" hidden="1" customHeight="1">
      <c r="A28" s="6" t="str">
        <f t="shared" si="1"/>
        <v>FIE-0027</v>
      </c>
      <c r="B28" s="189" t="s">
        <v>718</v>
      </c>
      <c r="C28" s="6" t="str">
        <f>IF(B28&lt;&gt;"",VLOOKUP(B28,LEADS!A:E,5,FALSE),"")
</f>
        <v>Maheshwar</v>
      </c>
      <c r="D28" s="190">
        <f>IF(B28&lt;&gt;"",VLOOKUP(B28,LEADS!A:F,6,FALSE),"")</f>
        <v>9945814519</v>
      </c>
      <c r="E28" s="190" t="str">
        <f>IF(B28&lt;&gt;"",VLOOKUP(B28,LEADS!A:I,9,FALSE),"")</f>
        <v>Sogilu</v>
      </c>
      <c r="F28" s="190" t="str">
        <f>IF(B28&lt;&gt;"",VLOOKUP(B28,LEADS!A:J,10,FALSE),"")</f>
        <v>Savlanga</v>
      </c>
      <c r="G28" s="191">
        <f>IF(B28&lt;&gt;"",VLOOKUP(B28,LEADS!A:O,15,FALSE),"")</f>
        <v>2500</v>
      </c>
      <c r="H28" s="190">
        <v>45980.0</v>
      </c>
      <c r="I28" s="190"/>
      <c r="J28" s="189" t="s">
        <v>24</v>
      </c>
      <c r="K28" s="189"/>
      <c r="L28" s="6"/>
      <c r="M28" s="189"/>
      <c r="N28" s="190"/>
      <c r="O28" s="192" t="str">
        <f>IF(AND(ISBLANK(Field_Visit[Visit Actual Date]),NOT(ISBLANK(Field_Visit[Visit Scheduled Date]))),"Scheduled",IF(NOT(ISBLANK(Field_Visit[Visit Actual Date])),"Visited",""))
</f>
        <v>Scheduled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22.5" hidden="1" customHeight="1">
      <c r="A29" s="6" t="str">
        <f t="shared" si="1"/>
        <v>FIE-0028</v>
      </c>
      <c r="B29" s="189" t="s">
        <v>719</v>
      </c>
      <c r="C29" s="6" t="str">
        <f>IF(B29&lt;&gt;"",VLOOKUP(B29,LEADS!A:E,5,FALSE),"")
</f>
        <v>Rajappa</v>
      </c>
      <c r="D29" s="190">
        <f>IF(B29&lt;&gt;"",VLOOKUP(B29,LEADS!A:F,6,FALSE),"")</f>
        <v>9739248845</v>
      </c>
      <c r="E29" s="190" t="str">
        <f>IF(B29&lt;&gt;"",VLOOKUP(B29,LEADS!A:I,9,FALSE),"")</f>
        <v>Sogilu</v>
      </c>
      <c r="F29" s="190" t="str">
        <f>IF(B29&lt;&gt;"",VLOOKUP(B29,LEADS!A:J,10,FALSE),"")</f>
        <v>Savlanga</v>
      </c>
      <c r="G29" s="191">
        <f>IF(B29&lt;&gt;"",VLOOKUP(B29,LEADS!A:O,15,FALSE),"")</f>
        <v>1800</v>
      </c>
      <c r="H29" s="190">
        <v>45980.0</v>
      </c>
      <c r="I29" s="190"/>
      <c r="J29" s="189" t="s">
        <v>24</v>
      </c>
      <c r="K29" s="189"/>
      <c r="L29" s="6"/>
      <c r="M29" s="189"/>
      <c r="N29" s="190"/>
      <c r="O29" s="192" t="str">
        <f>IF(AND(ISBLANK(Field_Visit[Visit Actual Date]),NOT(ISBLANK(Field_Visit[Visit Scheduled Date]))),"Scheduled",IF(NOT(ISBLANK(Field_Visit[Visit Actual Date])),"Visited",""))
</f>
        <v>Scheduled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22.5" hidden="1" customHeight="1">
      <c r="A30" s="6" t="str">
        <f t="shared" si="1"/>
        <v>FIE-0029</v>
      </c>
      <c r="B30" s="189" t="s">
        <v>720</v>
      </c>
      <c r="C30" s="6" t="str">
        <f>IF(B30&lt;&gt;"",VLOOKUP(B30,LEADS!A:E,5,FALSE),"")
</f>
        <v>Chandrashekar</v>
      </c>
      <c r="D30" s="190">
        <f>IF(B30&lt;&gt;"",VLOOKUP(B30,LEADS!A:F,6,FALSE),"")</f>
        <v>884382218</v>
      </c>
      <c r="E30" s="190" t="str">
        <f>IF(B30&lt;&gt;"",VLOOKUP(B30,LEADS!A:I,9,FALSE),"")</f>
        <v>Rameshwar</v>
      </c>
      <c r="F30" s="190" t="str">
        <f>IF(B30&lt;&gt;"",VLOOKUP(B30,LEADS!A:J,10,FALSE),"")</f>
        <v>Savlanga</v>
      </c>
      <c r="G30" s="191">
        <f>IF(B30&lt;&gt;"",VLOOKUP(B30,LEADS!A:O,15,FALSE),"")</f>
        <v>1260</v>
      </c>
      <c r="H30" s="190">
        <v>45980.0</v>
      </c>
      <c r="I30" s="190"/>
      <c r="J30" s="189" t="s">
        <v>24</v>
      </c>
      <c r="K30" s="189"/>
      <c r="L30" s="6"/>
      <c r="M30" s="189"/>
      <c r="N30" s="190"/>
      <c r="O30" s="192" t="str">
        <f>IF(AND(ISBLANK(Field_Visit[Visit Actual Date]),NOT(ISBLANK(Field_Visit[Visit Scheduled Date]))),"Scheduled",IF(NOT(ISBLANK(Field_Visit[Visit Actual Date])),"Visited",""))
</f>
        <v>Scheduled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22.5" hidden="1" customHeight="1">
      <c r="A31" s="6" t="str">
        <f t="shared" si="1"/>
        <v>FIE-0030</v>
      </c>
      <c r="B31" s="189" t="s">
        <v>721</v>
      </c>
      <c r="C31" s="6" t="str">
        <f>IF(B31&lt;&gt;"",VLOOKUP(B31,LEADS!A:E,5,FALSE),"")
</f>
        <v>Neelkantappa</v>
      </c>
      <c r="D31" s="190">
        <f>IF(B31&lt;&gt;"",VLOOKUP(B31,LEADS!A:F,6,FALSE),"")</f>
        <v>9986327688</v>
      </c>
      <c r="E31" s="190" t="str">
        <f>IF(B31&lt;&gt;"",VLOOKUP(B31,LEADS!A:I,9,FALSE),"")</f>
        <v>Harnahalli</v>
      </c>
      <c r="F31" s="190" t="str">
        <f>IF(B31&lt;&gt;"",VLOOKUP(B31,LEADS!A:J,10,FALSE),"")</f>
        <v>Aynur</v>
      </c>
      <c r="G31" s="191">
        <f>IF(B31&lt;&gt;"",VLOOKUP(B31,LEADS!A:O,15,FALSE),"")</f>
        <v>1800</v>
      </c>
      <c r="H31" s="190">
        <v>45981.0</v>
      </c>
      <c r="I31" s="190"/>
      <c r="J31" s="189" t="s">
        <v>24</v>
      </c>
      <c r="K31" s="189"/>
      <c r="L31" s="6"/>
      <c r="M31" s="189"/>
      <c r="N31" s="190"/>
      <c r="O31" s="192" t="str">
        <f>IF(AND(ISBLANK(Field_Visit[Visit Actual Date]),NOT(ISBLANK(Field_Visit[Visit Scheduled Date]))),"Scheduled",IF(NOT(ISBLANK(Field_Visit[Visit Actual Date])),"Visited",""))
</f>
        <v>Scheduled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22.5" hidden="1" customHeight="1">
      <c r="A32" s="6" t="str">
        <f t="shared" si="1"/>
        <v>FIE-0031</v>
      </c>
      <c r="B32" s="189" t="s">
        <v>722</v>
      </c>
      <c r="C32" s="6" t="str">
        <f>IF(B32&lt;&gt;"",VLOOKUP(B32,LEADS!A:E,5,FALSE),"")
</f>
        <v>Shivanna</v>
      </c>
      <c r="D32" s="190">
        <f>IF(B32&lt;&gt;"",VLOOKUP(B32,LEADS!A:F,6,FALSE),"")</f>
        <v>9980517484</v>
      </c>
      <c r="E32" s="190" t="str">
        <f>IF(B32&lt;&gt;"",VLOOKUP(B32,LEADS!A:I,9,FALSE),"")</f>
        <v>Harnahalli</v>
      </c>
      <c r="F32" s="190" t="str">
        <f>IF(B32&lt;&gt;"",VLOOKUP(B32,LEADS!A:J,10,FALSE),"")</f>
        <v>Aynur</v>
      </c>
      <c r="G32" s="191">
        <f>IF(B32&lt;&gt;"",VLOOKUP(B32,LEADS!A:O,15,FALSE),"")</f>
        <v>600</v>
      </c>
      <c r="H32" s="190">
        <v>45981.0</v>
      </c>
      <c r="I32" s="190"/>
      <c r="J32" s="189" t="s">
        <v>24</v>
      </c>
      <c r="K32" s="189"/>
      <c r="L32" s="6"/>
      <c r="M32" s="189"/>
      <c r="N32" s="190"/>
      <c r="O32" s="192" t="str">
        <f>IF(AND(ISBLANK(Field_Visit[Visit Actual Date]),NOT(ISBLANK(Field_Visit[Visit Scheduled Date]))),"Scheduled",IF(NOT(ISBLANK(Field_Visit[Visit Actual Date])),"Visited",""))
</f>
        <v>Scheduled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22.5" hidden="1" customHeight="1">
      <c r="A33" s="6" t="str">
        <f t="shared" si="1"/>
        <v>FIE-0032</v>
      </c>
      <c r="B33" s="189" t="s">
        <v>723</v>
      </c>
      <c r="C33" s="6" t="str">
        <f>IF(B33&lt;&gt;"",VLOOKUP(B33,LEADS!A:E,5,FALSE),"")
</f>
        <v>Lokeshappa</v>
      </c>
      <c r="D33" s="190">
        <f>IF(B33&lt;&gt;"",VLOOKUP(B33,LEADS!A:F,6,FALSE),"")</f>
        <v>9916635481</v>
      </c>
      <c r="E33" s="190" t="str">
        <f>IF(B33&lt;&gt;"",VLOOKUP(B33,LEADS!A:I,9,FALSE),"")</f>
        <v>Harnahalli</v>
      </c>
      <c r="F33" s="190" t="str">
        <f>IF(B33&lt;&gt;"",VLOOKUP(B33,LEADS!A:J,10,FALSE),"")</f>
        <v>Aynur</v>
      </c>
      <c r="G33" s="191">
        <f>IF(B33&lt;&gt;"",VLOOKUP(B33,LEADS!A:O,15,FALSE),"")</f>
        <v>900</v>
      </c>
      <c r="H33" s="190">
        <v>45981.0</v>
      </c>
      <c r="I33" s="190"/>
      <c r="J33" s="189" t="s">
        <v>24</v>
      </c>
      <c r="K33" s="189"/>
      <c r="L33" s="6"/>
      <c r="M33" s="189"/>
      <c r="N33" s="190"/>
      <c r="O33" s="192" t="str">
        <f>IF(AND(ISBLANK(Field_Visit[Visit Actual Date]),NOT(ISBLANK(Field_Visit[Visit Scheduled Date]))),"Scheduled",IF(NOT(ISBLANK(Field_Visit[Visit Actual Date])),"Visited",""))
</f>
        <v>Scheduled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22.5" hidden="1" customHeight="1">
      <c r="A34" s="6" t="str">
        <f t="shared" si="1"/>
        <v>FIE-0033</v>
      </c>
      <c r="B34" s="189" t="s">
        <v>724</v>
      </c>
      <c r="C34" s="193" t="str">
        <f>IF(B34&lt;&gt;"",VLOOKUP(B34,LEADS!A:E,5,FALSE),"")
</f>
        <v>V.P.Veerabhadrappa</v>
      </c>
      <c r="D34" s="190">
        <f>IF(B34&lt;&gt;"",VLOOKUP(B34,LEADS!A:F,6,FALSE),"")</f>
        <v>9449103983</v>
      </c>
      <c r="E34" s="194" t="str">
        <f>IF(B34&lt;&gt;"",VLOOKUP(B34,LEADS!A:I,9,FALSE),"")</f>
        <v>Harnahalli</v>
      </c>
      <c r="F34" s="190" t="str">
        <f>IF(B34&lt;&gt;"",VLOOKUP(B34,LEADS!A:J,10,FALSE),"")</f>
        <v>Aynur</v>
      </c>
      <c r="G34" s="191">
        <f>IF(B34&lt;&gt;"",VLOOKUP(B34,LEADS!A:O,15,FALSE),"")</f>
        <v>600</v>
      </c>
      <c r="H34" s="190">
        <v>45981.0</v>
      </c>
      <c r="I34" s="190"/>
      <c r="J34" s="189" t="s">
        <v>24</v>
      </c>
      <c r="K34" s="189"/>
      <c r="L34" s="6"/>
      <c r="M34" s="189"/>
      <c r="N34" s="190"/>
      <c r="O34" s="192" t="str">
        <f>IF(AND(ISBLANK(Field_Visit[Visit Actual Date]),NOT(ISBLANK(Field_Visit[Visit Scheduled Date]))),"Scheduled",IF(NOT(ISBLANK(Field_Visit[Visit Actual Date])),"Visited",""))
</f>
        <v>Scheduled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22.5" hidden="1" customHeight="1">
      <c r="A35" s="6" t="str">
        <f t="shared" si="1"/>
        <v>FIE-0034</v>
      </c>
      <c r="B35" s="189" t="s">
        <v>725</v>
      </c>
      <c r="C35" s="6" t="str">
        <f>IF(B35&lt;&gt;"",VLOOKUP(B35,LEADS!A:E,5,FALSE),"")
</f>
        <v>Krishna Murty</v>
      </c>
      <c r="D35" s="190">
        <f>IF(B35&lt;&gt;"",VLOOKUP(B35,LEADS!A:F,6,FALSE),"")</f>
        <v>9448189403</v>
      </c>
      <c r="E35" s="190" t="str">
        <f>IF(B35&lt;&gt;"",VLOOKUP(B35,LEADS!A:I,9,FALSE),"")</f>
        <v>Sudoor</v>
      </c>
      <c r="F35" s="190" t="str">
        <f>IF(B35&lt;&gt;"",VLOOKUP(B35,LEADS!A:J,10,FALSE),"")</f>
        <v>Rippanpete</v>
      </c>
      <c r="G35" s="191">
        <f>IF(B35&lt;&gt;"",VLOOKUP(B35,LEADS!A:O,15,FALSE),"")</f>
        <v>2400</v>
      </c>
      <c r="H35" s="190">
        <v>45981.0</v>
      </c>
      <c r="I35" s="190"/>
      <c r="J35" s="189" t="s">
        <v>24</v>
      </c>
      <c r="K35" s="189"/>
      <c r="L35" s="6"/>
      <c r="M35" s="189"/>
      <c r="N35" s="190"/>
      <c r="O35" s="192" t="str">
        <f>IF(AND(ISBLANK(Field_Visit[Visit Actual Date]),NOT(ISBLANK(Field_Visit[Visit Scheduled Date]))),"Scheduled",IF(NOT(ISBLANK(Field_Visit[Visit Actual Date])),"Visited",""))
</f>
        <v>Scheduled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22.5" hidden="1" customHeight="1">
      <c r="A36" s="6" t="str">
        <f t="shared" si="1"/>
        <v>FIE-0035</v>
      </c>
      <c r="B36" s="189" t="s">
        <v>726</v>
      </c>
      <c r="C36" s="6" t="str">
        <f>IF(B36&lt;&gt;"",VLOOKUP(B36,LEADS!A:E,5,FALSE),"")
</f>
        <v>Pavankumar</v>
      </c>
      <c r="D36" s="190">
        <f>IF(B36&lt;&gt;"",VLOOKUP(B36,LEADS!A:F,6,FALSE),"")</f>
        <v>9019808637</v>
      </c>
      <c r="E36" s="190" t="str">
        <f>IF(B36&lt;&gt;"",VLOOKUP(B36,LEADS!A:I,9,FALSE),"")</f>
        <v>Bilguni</v>
      </c>
      <c r="F36" s="190" t="str">
        <f>IF(B36&lt;&gt;"",VLOOKUP(B36,LEADS!A:J,10,FALSE),"")</f>
        <v>Aynur</v>
      </c>
      <c r="G36" s="191">
        <f>IF(B36&lt;&gt;"",VLOOKUP(B36,LEADS!A:O,15,FALSE),"")</f>
        <v>900</v>
      </c>
      <c r="H36" s="190">
        <v>45981.0</v>
      </c>
      <c r="I36" s="190"/>
      <c r="J36" s="189" t="s">
        <v>24</v>
      </c>
      <c r="K36" s="189"/>
      <c r="L36" s="6"/>
      <c r="M36" s="189"/>
      <c r="N36" s="190"/>
      <c r="O36" s="192" t="str">
        <f>IF(AND(ISBLANK(Field_Visit[Visit Actual Date]),NOT(ISBLANK(Field_Visit[Visit Scheduled Date]))),"Scheduled",IF(NOT(ISBLANK(Field_Visit[Visit Actual Date])),"Visited",""))
</f>
        <v>Scheduled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22.5" hidden="1" customHeight="1">
      <c r="A37" s="6" t="str">
        <f t="shared" si="1"/>
        <v>FIE-0036</v>
      </c>
      <c r="B37" s="189" t="s">
        <v>727</v>
      </c>
      <c r="C37" s="6" t="str">
        <f>IF(B37&lt;&gt;"",VLOOKUP(B37,LEADS!A:E,5,FALSE),"")
</f>
        <v>Sandeep kumar</v>
      </c>
      <c r="D37" s="190">
        <f>IF(B37&lt;&gt;"",VLOOKUP(B37,LEADS!A:F,6,FALSE),"")</f>
        <v>9901904818</v>
      </c>
      <c r="E37" s="190" t="str">
        <f>IF(B37&lt;&gt;"",VLOOKUP(B37,LEADS!A:I,9,FALSE),"")</f>
        <v>Hannegere</v>
      </c>
      <c r="F37" s="190" t="str">
        <f>IF(B37&lt;&gt;"",VLOOKUP(B37,LEADS!A:J,10,FALSE),"")</f>
        <v>Thirthahalli</v>
      </c>
      <c r="G37" s="191">
        <f>IF(B37&lt;&gt;"",VLOOKUP(B37,LEADS!A:O,15,FALSE),"")</f>
        <v>2000</v>
      </c>
      <c r="H37" s="190">
        <v>45981.0</v>
      </c>
      <c r="I37" s="190"/>
      <c r="J37" s="189" t="s">
        <v>24</v>
      </c>
      <c r="K37" s="189"/>
      <c r="L37" s="6"/>
      <c r="M37" s="189"/>
      <c r="N37" s="190"/>
      <c r="O37" s="192" t="str">
        <f>IF(AND(ISBLANK(Field_Visit[Visit Actual Date]),NOT(ISBLANK(Field_Visit[Visit Scheduled Date]))),"Scheduled",IF(NOT(ISBLANK(Field_Visit[Visit Actual Date])),"Visited",""))
</f>
        <v>Scheduled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22.5" hidden="1" customHeight="1">
      <c r="A38" s="6" t="str">
        <f t="shared" si="1"/>
        <v>FIE-0037</v>
      </c>
      <c r="B38" s="189" t="s">
        <v>728</v>
      </c>
      <c r="C38" s="6" t="str">
        <f>IF(B38&lt;&gt;"",VLOOKUP(B38,LEADS!A:E,5,FALSE),"")
</f>
        <v>Nagaraj</v>
      </c>
      <c r="D38" s="190">
        <f>IF(B38&lt;&gt;"",VLOOKUP(B38,LEADS!A:F,6,FALSE),"")</f>
        <v>9164548607</v>
      </c>
      <c r="E38" s="190" t="str">
        <f>IF(B38&lt;&gt;"",VLOOKUP(B38,LEADS!A:I,9,FALSE),"")</f>
        <v>Antaragange</v>
      </c>
      <c r="F38" s="190" t="str">
        <f>IF(B38&lt;&gt;"",VLOOKUP(B38,LEADS!A:J,10,FALSE),"")</f>
        <v>Bhadravathi</v>
      </c>
      <c r="G38" s="191">
        <f>IF(B38&lt;&gt;"",VLOOKUP(B38,LEADS!A:O,15,FALSE),"")</f>
        <v>2000</v>
      </c>
      <c r="H38" s="190">
        <v>45985.0</v>
      </c>
      <c r="I38" s="190"/>
      <c r="J38" s="189" t="s">
        <v>24</v>
      </c>
      <c r="K38" s="189"/>
      <c r="L38" s="6"/>
      <c r="M38" s="189"/>
      <c r="N38" s="190"/>
      <c r="O38" s="192" t="str">
        <f>IF(AND(ISBLANK(Field_Visit[Visit Actual Date]),NOT(ISBLANK(Field_Visit[Visit Scheduled Date]))),"Scheduled",IF(NOT(ISBLANK(Field_Visit[Visit Actual Date])),"Visited",""))
</f>
        <v>Scheduled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22.5" hidden="1" customHeight="1">
      <c r="A39" s="6" t="str">
        <f t="shared" si="1"/>
        <v>FIE-0038</v>
      </c>
      <c r="B39" s="189" t="s">
        <v>729</v>
      </c>
      <c r="C39" s="6" t="str">
        <f>IF(B39&lt;&gt;"",VLOOKUP(B39,LEADS!A:E,5,FALSE),"")
</f>
        <v>N.Umesh</v>
      </c>
      <c r="D39" s="190">
        <f>IF(B39&lt;&gt;"",VLOOKUP(B39,LEADS!A:F,6,FALSE),"")</f>
        <v>9380594703</v>
      </c>
      <c r="E39" s="190" t="str">
        <f>IF(B39&lt;&gt;"",VLOOKUP(B39,LEADS!A:I,9,FALSE),"")</f>
        <v>Gowrapura</v>
      </c>
      <c r="F39" s="190" t="str">
        <f>IF(B39&lt;&gt;"",VLOOKUP(B39,LEADS!A:J,10,FALSE),"")</f>
        <v>Bhadravathi</v>
      </c>
      <c r="G39" s="191">
        <f>IF(B39&lt;&gt;"",VLOOKUP(B39,LEADS!A:O,15,FALSE),"")</f>
        <v>600</v>
      </c>
      <c r="H39" s="190">
        <v>45985.0</v>
      </c>
      <c r="I39" s="190"/>
      <c r="J39" s="189" t="s">
        <v>24</v>
      </c>
      <c r="K39" s="189"/>
      <c r="L39" s="6"/>
      <c r="M39" s="189"/>
      <c r="N39" s="190"/>
      <c r="O39" s="192" t="str">
        <f>IF(AND(ISBLANK(Field_Visit[Visit Actual Date]),NOT(ISBLANK(Field_Visit[Visit Scheduled Date]))),"Scheduled",IF(NOT(ISBLANK(Field_Visit[Visit Actual Date])),"Visited",""))
</f>
        <v>Scheduled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22.5" hidden="1" customHeight="1">
      <c r="A40" s="6" t="str">
        <f t="shared" si="1"/>
        <v>FIE-0039</v>
      </c>
      <c r="B40" s="189" t="s">
        <v>730</v>
      </c>
      <c r="C40" s="6" t="str">
        <f>IF(B40&lt;&gt;"",VLOOKUP(B40,LEADS!A:E,5,FALSE),"")
</f>
        <v>Naveen kumar</v>
      </c>
      <c r="D40" s="190">
        <f>IF(B40&lt;&gt;"",VLOOKUP(B40,LEADS!A:F,6,FALSE),"")</f>
        <v>9591140190</v>
      </c>
      <c r="E40" s="190" t="str">
        <f>IF(B40&lt;&gt;"",VLOOKUP(B40,LEADS!A:I,9,FALSE),"")</f>
        <v>Dorgappanahalli</v>
      </c>
      <c r="F40" s="190" t="str">
        <f>IF(B40&lt;&gt;"",VLOOKUP(B40,LEADS!A:J,10,FALSE),"")</f>
        <v>Bhadravathi</v>
      </c>
      <c r="G40" s="191">
        <f>IF(B40&lt;&gt;"",VLOOKUP(B40,LEADS!A:O,15,FALSE),"")</f>
        <v>2100</v>
      </c>
      <c r="H40" s="190">
        <v>45985.0</v>
      </c>
      <c r="I40" s="190"/>
      <c r="J40" s="189" t="s">
        <v>24</v>
      </c>
      <c r="K40" s="189"/>
      <c r="L40" s="6"/>
      <c r="M40" s="189"/>
      <c r="N40" s="190"/>
      <c r="O40" s="192" t="str">
        <f>IF(AND(ISBLANK(Field_Visit[Visit Actual Date]),NOT(ISBLANK(Field_Visit[Visit Scheduled Date]))),"Scheduled",IF(NOT(ISBLANK(Field_Visit[Visit Actual Date])),"Visited",""))
</f>
        <v>Scheduled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22.5" hidden="1" customHeight="1">
      <c r="A41" s="6" t="str">
        <f t="shared" si="1"/>
        <v>FIE-0040</v>
      </c>
      <c r="B41" s="189" t="s">
        <v>731</v>
      </c>
      <c r="C41" s="6" t="str">
        <f>IF(B41&lt;&gt;"",VLOOKUP(B41,LEADS!A:E,5,FALSE),"")
</f>
        <v>Pradeep R</v>
      </c>
      <c r="D41" s="190">
        <f>IF(B41&lt;&gt;"",VLOOKUP(B41,LEADS!A:F,6,FALSE),"")</f>
        <v>9902195565</v>
      </c>
      <c r="E41" s="190" t="str">
        <f>IF(B41&lt;&gt;"",VLOOKUP(B41,LEADS!A:I,9,FALSE),"")</f>
        <v>Dorgappanahalli</v>
      </c>
      <c r="F41" s="190" t="str">
        <f>IF(B41&lt;&gt;"",VLOOKUP(B41,LEADS!A:J,10,FALSE),"")</f>
        <v>Bhadravathi</v>
      </c>
      <c r="G41" s="191">
        <f>IF(B41&lt;&gt;"",VLOOKUP(B41,LEADS!A:O,15,FALSE),"")</f>
        <v>900</v>
      </c>
      <c r="H41" s="190">
        <v>45985.0</v>
      </c>
      <c r="I41" s="190"/>
      <c r="J41" s="189" t="s">
        <v>24</v>
      </c>
      <c r="K41" s="189"/>
      <c r="L41" s="6"/>
      <c r="M41" s="189"/>
      <c r="N41" s="190"/>
      <c r="O41" s="192" t="str">
        <f>IF(AND(ISBLANK(Field_Visit[Visit Actual Date]),NOT(ISBLANK(Field_Visit[Visit Scheduled Date]))),"Scheduled",IF(NOT(ISBLANK(Field_Visit[Visit Actual Date])),"Visited",""))
</f>
        <v>Scheduled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22.5" hidden="1" customHeight="1">
      <c r="A42" s="6" t="str">
        <f t="shared" si="1"/>
        <v>FIE-0041</v>
      </c>
      <c r="B42" s="189" t="s">
        <v>732</v>
      </c>
      <c r="C42" s="6" t="str">
        <f>IF(B42&lt;&gt;"",VLOOKUP(B42,LEADS!A:E,5,FALSE),"")
</f>
        <v>Venktesh</v>
      </c>
      <c r="D42" s="190">
        <f>IF(B42&lt;&gt;"",VLOOKUP(B42,LEADS!A:F,6,FALSE),"")</f>
        <v>7406890156</v>
      </c>
      <c r="E42" s="190" t="str">
        <f>IF(B42&lt;&gt;"",VLOOKUP(B42,LEADS!A:I,9,FALSE),"")</f>
        <v>Antaragange</v>
      </c>
      <c r="F42" s="190" t="str">
        <f>IF(B42&lt;&gt;"",VLOOKUP(B42,LEADS!A:J,10,FALSE),"")</f>
        <v>Bhadravathi</v>
      </c>
      <c r="G42" s="191">
        <f>IF(B42&lt;&gt;"",VLOOKUP(B42,LEADS!A:O,15,FALSE),"")</f>
        <v>1500</v>
      </c>
      <c r="H42" s="190">
        <v>45985.0</v>
      </c>
      <c r="I42" s="190"/>
      <c r="J42" s="189" t="s">
        <v>24</v>
      </c>
      <c r="K42" s="189"/>
      <c r="L42" s="6"/>
      <c r="M42" s="189"/>
      <c r="N42" s="190"/>
      <c r="O42" s="192" t="str">
        <f>IF(AND(ISBLANK(Field_Visit[Visit Actual Date]),NOT(ISBLANK(Field_Visit[Visit Scheduled Date]))),"Scheduled",IF(NOT(ISBLANK(Field_Visit[Visit Actual Date])),"Visited",""))
</f>
        <v>Scheduled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22.5" hidden="1" customHeight="1">
      <c r="A43" s="6" t="str">
        <f t="shared" si="1"/>
        <v>FIE-0042</v>
      </c>
      <c r="B43" s="189" t="s">
        <v>733</v>
      </c>
      <c r="C43" s="6" t="str">
        <f>IF(B43&lt;&gt;"",VLOOKUP(B43,LEADS!A:E,5,FALSE),"")
</f>
        <v>Kubendrappa</v>
      </c>
      <c r="D43" s="190">
        <f>IF(B43&lt;&gt;"",VLOOKUP(B43,LEADS!A:F,6,FALSE),"")</f>
        <v>7760064946</v>
      </c>
      <c r="E43" s="190" t="str">
        <f>IF(B43&lt;&gt;"",VLOOKUP(B43,LEADS!A:I,9,FALSE),"")</f>
        <v>Antaragange</v>
      </c>
      <c r="F43" s="190" t="str">
        <f>IF(B43&lt;&gt;"",VLOOKUP(B43,LEADS!A:J,10,FALSE),"")</f>
        <v>Bhadravathi</v>
      </c>
      <c r="G43" s="191">
        <f>IF(B43&lt;&gt;"",VLOOKUP(B43,LEADS!A:O,15,FALSE),"")</f>
        <v>3000</v>
      </c>
      <c r="H43" s="190">
        <v>45985.0</v>
      </c>
      <c r="I43" s="190"/>
      <c r="J43" s="189" t="s">
        <v>24</v>
      </c>
      <c r="K43" s="189"/>
      <c r="L43" s="6"/>
      <c r="M43" s="189"/>
      <c r="N43" s="190"/>
      <c r="O43" s="192" t="str">
        <f>IF(AND(ISBLANK(Field_Visit[Visit Actual Date]),NOT(ISBLANK(Field_Visit[Visit Scheduled Date]))),"Scheduled",IF(NOT(ISBLANK(Field_Visit[Visit Actual Date])),"Visited",""))
</f>
        <v>Scheduled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22.5" hidden="1" customHeight="1">
      <c r="A44" s="6" t="str">
        <f t="shared" si="1"/>
        <v>FIE-0043</v>
      </c>
      <c r="B44" s="189" t="s">
        <v>734</v>
      </c>
      <c r="C44" s="6" t="str">
        <f>IF(B44&lt;&gt;"",VLOOKUP(B44,LEADS!A:E,5,FALSE),"")
</f>
        <v>Boraiyya</v>
      </c>
      <c r="D44" s="190">
        <f>IF(B44&lt;&gt;"",VLOOKUP(B44,LEADS!A:F,6,FALSE),"")</f>
        <v>9741032671</v>
      </c>
      <c r="E44" s="190" t="str">
        <f>IF(B44&lt;&gt;"",VLOOKUP(B44,LEADS!A:I,9,FALSE),"")</f>
        <v>Antaragange</v>
      </c>
      <c r="F44" s="190" t="str">
        <f>IF(B44&lt;&gt;"",VLOOKUP(B44,LEADS!A:J,10,FALSE),"")</f>
        <v>Bhadravathi</v>
      </c>
      <c r="G44" s="191">
        <f>IF(B44&lt;&gt;"",VLOOKUP(B44,LEADS!A:O,15,FALSE),"")</f>
        <v>4000</v>
      </c>
      <c r="H44" s="190">
        <v>45985.0</v>
      </c>
      <c r="I44" s="190"/>
      <c r="J44" s="189" t="s">
        <v>24</v>
      </c>
      <c r="K44" s="189"/>
      <c r="L44" s="6"/>
      <c r="M44" s="189"/>
      <c r="N44" s="190"/>
      <c r="O44" s="192" t="str">
        <f>IF(AND(ISBLANK(Field_Visit[Visit Actual Date]),NOT(ISBLANK(Field_Visit[Visit Scheduled Date]))),"Scheduled",IF(NOT(ISBLANK(Field_Visit[Visit Actual Date])),"Visited",""))
</f>
        <v>Scheduled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22.5" hidden="1" customHeight="1">
      <c r="A45" s="6" t="str">
        <f t="shared" si="1"/>
        <v>FIE-0044</v>
      </c>
      <c r="B45" s="189" t="s">
        <v>735</v>
      </c>
      <c r="C45" s="6" t="str">
        <f>IF(B45&lt;&gt;"",VLOOKUP(B45,LEADS!A:E,5,FALSE),"")
</f>
        <v>Manjunath</v>
      </c>
      <c r="D45" s="190">
        <f>IF(B45&lt;&gt;"",VLOOKUP(B45,LEADS!A:F,6,FALSE),"")</f>
        <v>8861286928</v>
      </c>
      <c r="E45" s="190" t="str">
        <f>IF(B45&lt;&gt;"",VLOOKUP(B45,LEADS!A:I,9,FALSE),"")</f>
        <v>Antaragange</v>
      </c>
      <c r="F45" s="190" t="str">
        <f>IF(B45&lt;&gt;"",VLOOKUP(B45,LEADS!A:J,10,FALSE),"")</f>
        <v>Bhadravathi</v>
      </c>
      <c r="G45" s="191">
        <f>IF(B45&lt;&gt;"",VLOOKUP(B45,LEADS!A:O,15,FALSE),"")</f>
        <v>500</v>
      </c>
      <c r="H45" s="190">
        <v>45985.0</v>
      </c>
      <c r="I45" s="190"/>
      <c r="J45" s="189" t="s">
        <v>24</v>
      </c>
      <c r="K45" s="189"/>
      <c r="L45" s="6"/>
      <c r="M45" s="189"/>
      <c r="N45" s="190"/>
      <c r="O45" s="192" t="str">
        <f>IF(AND(ISBLANK(Field_Visit[Visit Actual Date]),NOT(ISBLANK(Field_Visit[Visit Scheduled Date]))),"Scheduled",IF(NOT(ISBLANK(Field_Visit[Visit Actual Date])),"Visited",""))
</f>
        <v>Scheduled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22.5" hidden="1" customHeight="1">
      <c r="A46" s="6" t="str">
        <f t="shared" si="1"/>
        <v>FIE-0045</v>
      </c>
      <c r="B46" s="189" t="s">
        <v>736</v>
      </c>
      <c r="C46" s="6" t="str">
        <f>IF(B46&lt;&gt;"",VLOOKUP(B46,LEADS!A:E,5,FALSE),"")
</f>
        <v>Yellappa</v>
      </c>
      <c r="D46" s="190">
        <f>IF(B46&lt;&gt;"",VLOOKUP(B46,LEADS!A:F,6,FALSE),"")</f>
        <v>9741421990</v>
      </c>
      <c r="E46" s="190" t="str">
        <f>IF(B46&lt;&gt;"",VLOOKUP(B46,LEADS!A:I,9,FALSE),"")</f>
        <v>Antaragange</v>
      </c>
      <c r="F46" s="190" t="str">
        <f>IF(B46&lt;&gt;"",VLOOKUP(B46,LEADS!A:J,10,FALSE),"")</f>
        <v>Bhadravathi</v>
      </c>
      <c r="G46" s="191">
        <f>IF(B46&lt;&gt;"",VLOOKUP(B46,LEADS!A:O,15,FALSE),"")</f>
        <v>350</v>
      </c>
      <c r="H46" s="190">
        <v>45985.0</v>
      </c>
      <c r="I46" s="190"/>
      <c r="J46" s="189" t="s">
        <v>24</v>
      </c>
      <c r="K46" s="189"/>
      <c r="L46" s="6"/>
      <c r="M46" s="189"/>
      <c r="N46" s="190"/>
      <c r="O46" s="192" t="str">
        <f>IF(AND(ISBLANK(Field_Visit[Visit Actual Date]),NOT(ISBLANK(Field_Visit[Visit Scheduled Date]))),"Scheduled",IF(NOT(ISBLANK(Field_Visit[Visit Actual Date])),"Visited",""))
</f>
        <v>Scheduled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22.5" hidden="1" customHeight="1">
      <c r="A47" s="6" t="str">
        <f t="shared" si="1"/>
        <v>FIE-0046</v>
      </c>
      <c r="B47" s="189" t="s">
        <v>737</v>
      </c>
      <c r="C47" s="6" t="str">
        <f>IF(B47&lt;&gt;"",VLOOKUP(B47,LEADS!A:E,5,FALSE),"")
</f>
        <v>Chandrayya</v>
      </c>
      <c r="D47" s="190">
        <f>IF(B47&lt;&gt;"",VLOOKUP(B47,LEADS!A:F,6,FALSE),"")</f>
        <v>9535275981</v>
      </c>
      <c r="E47" s="190" t="str">
        <f>IF(B47&lt;&gt;"",VLOOKUP(B47,LEADS!A:I,9,FALSE),"")</f>
        <v>Antaragange</v>
      </c>
      <c r="F47" s="190" t="str">
        <f>IF(B47&lt;&gt;"",VLOOKUP(B47,LEADS!A:J,10,FALSE),"")</f>
        <v>Bhadravathi</v>
      </c>
      <c r="G47" s="191">
        <f>IF(B47&lt;&gt;"",VLOOKUP(B47,LEADS!A:O,15,FALSE),"")</f>
        <v>350</v>
      </c>
      <c r="H47" s="190">
        <v>45985.0</v>
      </c>
      <c r="I47" s="190"/>
      <c r="J47" s="189" t="s">
        <v>24</v>
      </c>
      <c r="K47" s="189"/>
      <c r="L47" s="6"/>
      <c r="M47" s="189"/>
      <c r="N47" s="190"/>
      <c r="O47" s="192" t="str">
        <f>IF(AND(ISBLANK(Field_Visit[Visit Actual Date]),NOT(ISBLANK(Field_Visit[Visit Scheduled Date]))),"Scheduled",IF(NOT(ISBLANK(Field_Visit[Visit Actual Date])),"Visited",""))
</f>
        <v>Scheduled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22.5" hidden="1" customHeight="1">
      <c r="A48" s="6" t="str">
        <f t="shared" si="1"/>
        <v>FIE-0047</v>
      </c>
      <c r="B48" s="189" t="s">
        <v>738</v>
      </c>
      <c r="C48" s="6" t="str">
        <f>IF(B48&lt;&gt;"",VLOOKUP(B48,LEADS!A:E,5,FALSE),"")
</f>
        <v>Chandrappa</v>
      </c>
      <c r="D48" s="190">
        <f>IF(B48&lt;&gt;"",VLOOKUP(B48,LEADS!A:F,6,FALSE),"")</f>
        <v>9663099971</v>
      </c>
      <c r="E48" s="190" t="str">
        <f>IF(B48&lt;&gt;"",VLOOKUP(B48,LEADS!A:I,9,FALSE),"")</f>
        <v>Hunasagatta</v>
      </c>
      <c r="F48" s="190" t="str">
        <f>IF(B48&lt;&gt;"",VLOOKUP(B48,LEADS!A:J,10,FALSE),"")</f>
        <v>Tarikere</v>
      </c>
      <c r="G48" s="191">
        <f>IF(B48&lt;&gt;"",VLOOKUP(B48,LEADS!A:O,15,FALSE),"")</f>
        <v>3000</v>
      </c>
      <c r="H48" s="190">
        <v>45991.0</v>
      </c>
      <c r="I48" s="190"/>
      <c r="J48" s="189" t="s">
        <v>24</v>
      </c>
      <c r="K48" s="189"/>
      <c r="L48" s="6"/>
      <c r="M48" s="189"/>
      <c r="N48" s="190"/>
      <c r="O48" s="192" t="str">
        <f>IF(AND(ISBLANK(Field_Visit[Visit Actual Date]),NOT(ISBLANK(Field_Visit[Visit Scheduled Date]))),"Scheduled",IF(NOT(ISBLANK(Field_Visit[Visit Actual Date])),"Visited",""))
</f>
        <v>Scheduled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22.5" hidden="1" customHeight="1">
      <c r="A49" s="6" t="str">
        <f t="shared" si="1"/>
        <v>FIE-0048</v>
      </c>
      <c r="B49" s="189" t="s">
        <v>739</v>
      </c>
      <c r="C49" s="6" t="str">
        <f>IF(B49&lt;&gt;"",VLOOKUP(B49,LEADS!A:E,5,FALSE),"")
</f>
        <v>Sathish</v>
      </c>
      <c r="D49" s="190">
        <f>IF(B49&lt;&gt;"",VLOOKUP(B49,LEADS!A:F,6,FALSE),"")</f>
        <v>8197041388</v>
      </c>
      <c r="E49" s="190" t="str">
        <f>IF(B49&lt;&gt;"",VLOOKUP(B49,LEADS!A:I,9,FALSE),"")</f>
        <v>Hunasagatta</v>
      </c>
      <c r="F49" s="190" t="str">
        <f>IF(B49&lt;&gt;"",VLOOKUP(B49,LEADS!A:J,10,FALSE),"")</f>
        <v>Tarikere</v>
      </c>
      <c r="G49" s="191">
        <f>IF(B49&lt;&gt;"",VLOOKUP(B49,LEADS!A:O,15,FALSE),"")</f>
        <v>1200</v>
      </c>
      <c r="H49" s="190">
        <v>45991.0</v>
      </c>
      <c r="I49" s="190"/>
      <c r="J49" s="189" t="s">
        <v>24</v>
      </c>
      <c r="K49" s="189"/>
      <c r="L49" s="6"/>
      <c r="M49" s="189"/>
      <c r="N49" s="190"/>
      <c r="O49" s="192" t="str">
        <f>IF(AND(ISBLANK(Field_Visit[Visit Actual Date]),NOT(ISBLANK(Field_Visit[Visit Scheduled Date]))),"Scheduled",IF(NOT(ISBLANK(Field_Visit[Visit Actual Date])),"Visited",""))
</f>
        <v>Scheduled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22.5" hidden="1" customHeight="1">
      <c r="A50" s="6" t="str">
        <f t="shared" si="1"/>
        <v>FIE-0049</v>
      </c>
      <c r="B50" s="189" t="s">
        <v>740</v>
      </c>
      <c r="C50" s="6" t="str">
        <f>IF(B50&lt;&gt;"",VLOOKUP(B50,LEADS!A:E,5,FALSE),"")
</f>
        <v>Santhosh</v>
      </c>
      <c r="D50" s="190">
        <f>IF(B50&lt;&gt;"",VLOOKUP(B50,LEADS!A:F,6,FALSE),"")</f>
        <v>9611831401</v>
      </c>
      <c r="E50" s="190" t="str">
        <f>IF(B50&lt;&gt;"",VLOOKUP(B50,LEADS!A:I,9,FALSE),"")</f>
        <v>Millenalli</v>
      </c>
      <c r="F50" s="190" t="str">
        <f>IF(B50&lt;&gt;"",VLOOKUP(B50,LEADS!A:J,10,FALSE),"")</f>
        <v>Tarikere</v>
      </c>
      <c r="G50" s="191">
        <f>IF(B50&lt;&gt;"",VLOOKUP(B50,LEADS!A:O,15,FALSE),"")</f>
        <v>9000</v>
      </c>
      <c r="H50" s="190">
        <v>45991.0</v>
      </c>
      <c r="I50" s="190"/>
      <c r="J50" s="189" t="s">
        <v>24</v>
      </c>
      <c r="K50" s="189"/>
      <c r="L50" s="6"/>
      <c r="M50" s="189"/>
      <c r="N50" s="190"/>
      <c r="O50" s="192" t="str">
        <f>IF(AND(ISBLANK(Field_Visit[Visit Actual Date]),NOT(ISBLANK(Field_Visit[Visit Scheduled Date]))),"Scheduled",IF(NOT(ISBLANK(Field_Visit[Visit Actual Date])),"Visited",""))
</f>
        <v>Scheduled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22.5" hidden="1" customHeight="1">
      <c r="A51" s="6" t="str">
        <f t="shared" si="1"/>
        <v>FIE-0050</v>
      </c>
      <c r="B51" s="189" t="s">
        <v>741</v>
      </c>
      <c r="C51" s="6" t="str">
        <f>IF(B51&lt;&gt;"",VLOOKUP(B51,LEADS!A:E,5,FALSE),"")
</f>
        <v>Manjunath</v>
      </c>
      <c r="D51" s="190">
        <f>IF(B51&lt;&gt;"",VLOOKUP(B51,LEADS!A:F,6,FALSE),"")</f>
        <v>9242064418</v>
      </c>
      <c r="E51" s="190" t="str">
        <f>IF(B51&lt;&gt;"",VLOOKUP(B51,LEADS!A:I,9,FALSE),"")</f>
        <v>Nagamangala</v>
      </c>
      <c r="F51" s="190" t="str">
        <f>IF(B51&lt;&gt;"",VLOOKUP(B51,LEADS!A:J,10,FALSE),"")</f>
        <v>Birur</v>
      </c>
      <c r="G51" s="191">
        <f>IF(B51&lt;&gt;"",VLOOKUP(B51,LEADS!A:O,15,FALSE),"")</f>
        <v>6000</v>
      </c>
      <c r="H51" s="190">
        <v>45991.0</v>
      </c>
      <c r="I51" s="190"/>
      <c r="J51" s="189" t="s">
        <v>24</v>
      </c>
      <c r="K51" s="189"/>
      <c r="L51" s="6"/>
      <c r="M51" s="189"/>
      <c r="N51" s="190"/>
      <c r="O51" s="192" t="str">
        <f>IF(AND(ISBLANK(Field_Visit[Visit Actual Date]),NOT(ISBLANK(Field_Visit[Visit Scheduled Date]))),"Scheduled",IF(NOT(ISBLANK(Field_Visit[Visit Actual Date])),"Visited",""))
</f>
        <v>Scheduled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22.5" hidden="1" customHeight="1">
      <c r="A52" s="6" t="str">
        <f t="shared" si="1"/>
        <v>FIE-0051</v>
      </c>
      <c r="B52" s="189" t="s">
        <v>742</v>
      </c>
      <c r="C52" s="6" t="str">
        <f>IF(B52&lt;&gt;"",VLOOKUP(B52,LEADS!A:E,5,FALSE),"")
</f>
        <v>Chetan</v>
      </c>
      <c r="D52" s="190">
        <f>IF(B52&lt;&gt;"",VLOOKUP(B52,LEADS!A:F,6,FALSE),"")</f>
        <v>9886989649</v>
      </c>
      <c r="E52" s="190" t="str">
        <f>IF(B52&lt;&gt;"",VLOOKUP(B52,LEADS!A:I,9,FALSE),"")</f>
        <v>Tarikere</v>
      </c>
      <c r="F52" s="190" t="str">
        <f>IF(B52&lt;&gt;"",VLOOKUP(B52,LEADS!A:J,10,FALSE),"")</f>
        <v>Tarikere</v>
      </c>
      <c r="G52" s="191">
        <f>IF(B52&lt;&gt;"",VLOOKUP(B52,LEADS!A:O,15,FALSE),"")</f>
        <v>18000</v>
      </c>
      <c r="H52" s="190">
        <v>45991.0</v>
      </c>
      <c r="I52" s="190"/>
      <c r="J52" s="189" t="s">
        <v>24</v>
      </c>
      <c r="K52" s="189"/>
      <c r="L52" s="6"/>
      <c r="M52" s="189"/>
      <c r="N52" s="190"/>
      <c r="O52" s="192" t="str">
        <f>IF(AND(ISBLANK(Field_Visit[Visit Actual Date]),NOT(ISBLANK(Field_Visit[Visit Scheduled Date]))),"Scheduled",IF(NOT(ISBLANK(Field_Visit[Visit Actual Date])),"Visited",""))
</f>
        <v>Scheduled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22.5" hidden="1" customHeight="1">
      <c r="A53" s="6" t="str">
        <f t="shared" si="1"/>
        <v>FIE-0052</v>
      </c>
      <c r="B53" s="189" t="s">
        <v>743</v>
      </c>
      <c r="C53" s="6" t="str">
        <f>IF(B53&lt;&gt;"",VLOOKUP(B53,LEADS!A:E,5,FALSE),"")
</f>
        <v>Jagadeesh</v>
      </c>
      <c r="D53" s="190">
        <f>IF(B53&lt;&gt;"",VLOOKUP(B53,LEADS!A:F,6,FALSE),"")</f>
        <v>9880830949</v>
      </c>
      <c r="E53" s="190" t="str">
        <f>IF(B53&lt;&gt;"",VLOOKUP(B53,LEADS!A:I,9,FALSE),"")</f>
        <v>Jamdalla</v>
      </c>
      <c r="F53" s="190" t="str">
        <f>IF(B53&lt;&gt;"",VLOOKUP(B53,LEADS!A:J,10,FALSE),"")</f>
        <v>Tarikere</v>
      </c>
      <c r="G53" s="191">
        <f>IF(B53&lt;&gt;"",VLOOKUP(B53,LEADS!A:O,15,FALSE),"")</f>
        <v>10000</v>
      </c>
      <c r="H53" s="190">
        <v>45991.0</v>
      </c>
      <c r="I53" s="190"/>
      <c r="J53" s="189" t="s">
        <v>24</v>
      </c>
      <c r="K53" s="189"/>
      <c r="L53" s="6"/>
      <c r="M53" s="189"/>
      <c r="N53" s="190"/>
      <c r="O53" s="192" t="str">
        <f>IF(AND(ISBLANK(Field_Visit[Visit Actual Date]),NOT(ISBLANK(Field_Visit[Visit Scheduled Date]))),"Scheduled",IF(NOT(ISBLANK(Field_Visit[Visit Actual Date])),"Visited",""))
</f>
        <v>Scheduled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22.5" hidden="1" customHeight="1">
      <c r="A54" s="6" t="str">
        <f t="shared" si="1"/>
        <v>FIE-0053</v>
      </c>
      <c r="B54" s="189" t="s">
        <v>744</v>
      </c>
      <c r="C54" s="6" t="str">
        <f>IF(B54&lt;&gt;"",VLOOKUP(B54,LEADS!A:E,5,FALSE),"")
</f>
        <v>Manu</v>
      </c>
      <c r="D54" s="190">
        <f>IF(B54&lt;&gt;"",VLOOKUP(B54,LEADS!A:F,6,FALSE),"")</f>
        <v>9886218675</v>
      </c>
      <c r="E54" s="190" t="str">
        <f>IF(B54&lt;&gt;"",VLOOKUP(B54,LEADS!A:I,9,FALSE),"")</f>
        <v>Rubberkodu</v>
      </c>
      <c r="F54" s="190" t="str">
        <f>IF(B54&lt;&gt;"",VLOOKUP(B54,LEADS!A:J,10,FALSE),"")</f>
        <v>Bhadravathi</v>
      </c>
      <c r="G54" s="191">
        <f>IF(B54&lt;&gt;"",VLOOKUP(B54,LEADS!A:O,15,FALSE),"")</f>
        <v>3000</v>
      </c>
      <c r="H54" s="190">
        <v>45992.0</v>
      </c>
      <c r="I54" s="190"/>
      <c r="J54" s="189" t="s">
        <v>24</v>
      </c>
      <c r="K54" s="189"/>
      <c r="L54" s="6"/>
      <c r="M54" s="189"/>
      <c r="N54" s="190"/>
      <c r="O54" s="192" t="str">
        <f>IF(AND(ISBLANK(Field_Visit[Visit Actual Date]),NOT(ISBLANK(Field_Visit[Visit Scheduled Date]))),"Scheduled",IF(NOT(ISBLANK(Field_Visit[Visit Actual Date])),"Visited",""))
</f>
        <v>Scheduled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22.5" hidden="1" customHeight="1">
      <c r="A55" s="6" t="str">
        <f t="shared" si="1"/>
        <v>FIE-0054</v>
      </c>
      <c r="B55" s="189" t="s">
        <v>745</v>
      </c>
      <c r="C55" s="6" t="str">
        <f>IF(B55&lt;&gt;"",VLOOKUP(B55,LEADS!A:E,5,FALSE),"")
</f>
        <v>Srikanth</v>
      </c>
      <c r="D55" s="190">
        <f>IF(B55&lt;&gt;"",VLOOKUP(B55,LEADS!A:F,6,FALSE),"")</f>
        <v>9448856881</v>
      </c>
      <c r="E55" s="190" t="str">
        <f>IF(B55&lt;&gt;"",VLOOKUP(B55,LEADS!A:I,9,FALSE),"")</f>
        <v>D.G.Halli</v>
      </c>
      <c r="F55" s="190" t="str">
        <f>IF(B55&lt;&gt;"",VLOOKUP(B55,LEADS!A:J,10,FALSE),"")</f>
        <v>Bhadravathi</v>
      </c>
      <c r="G55" s="191">
        <f>IF(B55&lt;&gt;"",VLOOKUP(B55,LEADS!A:O,15,FALSE),"")</f>
        <v>2400</v>
      </c>
      <c r="H55" s="190">
        <v>45992.0</v>
      </c>
      <c r="I55" s="190"/>
      <c r="J55" s="189" t="s">
        <v>24</v>
      </c>
      <c r="K55" s="189"/>
      <c r="L55" s="6"/>
      <c r="M55" s="189"/>
      <c r="N55" s="190"/>
      <c r="O55" s="192" t="str">
        <f>IF(AND(ISBLANK(Field_Visit[Visit Actual Date]),NOT(ISBLANK(Field_Visit[Visit Scheduled Date]))),"Scheduled",IF(NOT(ISBLANK(Field_Visit[Visit Actual Date])),"Visited",""))
</f>
        <v>Scheduled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22.5" hidden="1" customHeight="1">
      <c r="A56" s="6" t="str">
        <f t="shared" si="1"/>
        <v>FIE-0055</v>
      </c>
      <c r="B56" s="189" t="s">
        <v>746</v>
      </c>
      <c r="C56" s="6" t="str">
        <f>IF(B56&lt;&gt;"",VLOOKUP(B56,LEADS!A:E,5,FALSE),"")
</f>
        <v>Lingaraju</v>
      </c>
      <c r="D56" s="190">
        <f>IF(B56&lt;&gt;"",VLOOKUP(B56,LEADS!A:F,6,FALSE),"")</f>
        <v>9900203295</v>
      </c>
      <c r="E56" s="190" t="str">
        <f>IF(B56&lt;&gt;"",VLOOKUP(B56,LEADS!A:I,9,FALSE),"")</f>
        <v>Lakshmipura</v>
      </c>
      <c r="F56" s="190" t="str">
        <f>IF(B56&lt;&gt;"",VLOOKUP(B56,LEADS!A:J,10,FALSE),"")</f>
        <v>Bhadravathi</v>
      </c>
      <c r="G56" s="191">
        <f>IF(B56&lt;&gt;"",VLOOKUP(B56,LEADS!A:O,15,FALSE),"")</f>
        <v>6000</v>
      </c>
      <c r="H56" s="190">
        <v>45992.0</v>
      </c>
      <c r="I56" s="190"/>
      <c r="J56" s="189" t="s">
        <v>24</v>
      </c>
      <c r="K56" s="189"/>
      <c r="L56" s="6"/>
      <c r="M56" s="189"/>
      <c r="N56" s="190"/>
      <c r="O56" s="192" t="str">
        <f>IF(AND(ISBLANK(Field_Visit[Visit Actual Date]),NOT(ISBLANK(Field_Visit[Visit Scheduled Date]))),"Scheduled",IF(NOT(ISBLANK(Field_Visit[Visit Actual Date])),"Visited",""))
</f>
        <v>Scheduled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22.5" hidden="1" customHeight="1">
      <c r="A57" s="6" t="str">
        <f t="shared" si="1"/>
        <v>FIE-0056</v>
      </c>
      <c r="B57" s="189" t="s">
        <v>747</v>
      </c>
      <c r="C57" s="6" t="str">
        <f>IF(B57&lt;&gt;"",VLOOKUP(B57,LEADS!A:E,5,FALSE),"")
</f>
        <v>Mother Earth </v>
      </c>
      <c r="D57" s="190">
        <f>IF(B57&lt;&gt;"",VLOOKUP(B57,LEADS!A:F,6,FALSE),"")</f>
        <v>7760551112</v>
      </c>
      <c r="E57" s="190" t="str">
        <f>IF(B57&lt;&gt;"",VLOOKUP(B57,LEADS!A:I,9,FALSE),"")</f>
        <v>Jagadapura </v>
      </c>
      <c r="F57" s="190" t="str">
        <f>IF(B57&lt;&gt;"",VLOOKUP(B57,LEADS!A:J,10,FALSE),"")</f>
        <v>Channappattna </v>
      </c>
      <c r="G57" s="191">
        <f>IF(B57&lt;&gt;"",VLOOKUP(B57,LEADS!A:O,15,FALSE),"")</f>
        <v>5000</v>
      </c>
      <c r="H57" s="192" t="s">
        <v>748</v>
      </c>
      <c r="I57" s="190"/>
      <c r="J57" s="189" t="s">
        <v>24</v>
      </c>
      <c r="K57" s="189" t="s">
        <v>43</v>
      </c>
      <c r="L57" s="6"/>
      <c r="M57" s="189"/>
      <c r="N57" s="190"/>
      <c r="O57" s="192" t="str">
        <f>IF(AND(ISBLANK(Field_Visit[Visit Actual Date]),NOT(ISBLANK(Field_Visit[Visit Scheduled Date]))),"Scheduled",IF(NOT(ISBLANK(Field_Visit[Visit Actual Date])),"Visited",""))
</f>
        <v>Scheduled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22.5" hidden="1" customHeight="1">
      <c r="A58" s="6" t="str">
        <f t="shared" si="1"/>
        <v>FIE-0057</v>
      </c>
      <c r="B58" s="189" t="s">
        <v>749</v>
      </c>
      <c r="C58" s="6" t="str">
        <f>IF(B58&lt;&gt;"",VLOOKUP(B58,LEADS!A:E,5,FALSE),"")
</f>
        <v>Suresh K S</v>
      </c>
      <c r="D58" s="190">
        <f>IF(B58&lt;&gt;"",VLOOKUP(B58,LEADS!A:F,6,FALSE),"")</f>
        <v>8183894646</v>
      </c>
      <c r="E58" s="190" t="str">
        <f>IF(B58&lt;&gt;"",VLOOKUP(B58,LEADS!A:I,9,FALSE),"")</f>
        <v>Kalyur</v>
      </c>
      <c r="F58" s="190" t="str">
        <f>IF(B58&lt;&gt;"",VLOOKUP(B58,LEADS!A:J,10,FALSE),"")</f>
        <v>T Narasipura</v>
      </c>
      <c r="G58" s="191">
        <f>IF(B58&lt;&gt;"",VLOOKUP(B58,LEADS!A:O,15,FALSE),"")</f>
        <v>5000</v>
      </c>
      <c r="H58" s="190">
        <v>45996.0</v>
      </c>
      <c r="I58" s="190"/>
      <c r="J58" s="189" t="s">
        <v>24</v>
      </c>
      <c r="K58" s="189" t="s">
        <v>43</v>
      </c>
      <c r="L58" s="6"/>
      <c r="M58" s="189"/>
      <c r="N58" s="190"/>
      <c r="O58" s="192" t="str">
        <f>IF(AND(ISBLANK(Field_Visit[Visit Actual Date]),NOT(ISBLANK(Field_Visit[Visit Scheduled Date]))),"Scheduled",IF(NOT(ISBLANK(Field_Visit[Visit Actual Date])),"Visited",""))
</f>
        <v>Scheduled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22.5" hidden="1" customHeight="1">
      <c r="A59" s="6" t="str">
        <f t="shared" si="1"/>
        <v>FIE-0058</v>
      </c>
      <c r="B59" s="189" t="s">
        <v>750</v>
      </c>
      <c r="C59" s="6" t="str">
        <f>IF(B59&lt;&gt;"",VLOOKUP(B59,LEADS!A:E,5,FALSE),"")
</f>
        <v>Imtiyaz</v>
      </c>
      <c r="D59" s="190">
        <f>IF(B59&lt;&gt;"",VLOOKUP(B59,LEADS!A:F,6,FALSE),"")</f>
        <v>7019118298</v>
      </c>
      <c r="E59" s="190" t="str">
        <f>IF(B59&lt;&gt;"",VLOOKUP(B59,LEADS!A:I,9,FALSE),"")</f>
        <v>Kammaradi</v>
      </c>
      <c r="F59" s="190" t="str">
        <f>IF(B59&lt;&gt;"",VLOOKUP(B59,LEADS!A:J,10,FALSE),"")</f>
        <v>Thirthahalli</v>
      </c>
      <c r="G59" s="191">
        <f>IF(B59&lt;&gt;"",VLOOKUP(B59,LEADS!A:O,15,FALSE),"")</f>
        <v>1600</v>
      </c>
      <c r="H59" s="190">
        <v>46006.0</v>
      </c>
      <c r="I59" s="190">
        <v>46006.0</v>
      </c>
      <c r="J59" s="189" t="s">
        <v>24</v>
      </c>
      <c r="K59" s="189" t="s">
        <v>19</v>
      </c>
      <c r="L59" s="6"/>
      <c r="M59" s="189" t="s">
        <v>692</v>
      </c>
      <c r="N59" s="190"/>
      <c r="O59" s="192" t="str">
        <f>IF(AND(ISBLANK(Field_Visit[Visit Actual Date]),NOT(ISBLANK(Field_Visit[Visit Scheduled Date]))),"Scheduled",IF(NOT(ISBLANK(Field_Visit[Visit Actual Date])),"Visited",""))
</f>
        <v>Visited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22.5" hidden="1" customHeight="1">
      <c r="A60" s="6" t="str">
        <f t="shared" si="1"/>
        <v>FIE-0059</v>
      </c>
      <c r="B60" s="189" t="s">
        <v>751</v>
      </c>
      <c r="C60" s="6" t="str">
        <f>IF(B60&lt;&gt;"",VLOOKUP(B60,LEADS!A:E,5,FALSE),"")
</f>
        <v>Mohan </v>
      </c>
      <c r="D60" s="190">
        <f>IF(B60&lt;&gt;"",VLOOKUP(B60,LEADS!A:F,6,FALSE),"")</f>
        <v>9740919288</v>
      </c>
      <c r="E60" s="190" t="str">
        <f>IF(B60&lt;&gt;"",VLOOKUP(B60,LEADS!A:I,9,FALSE),"")</f>
        <v>Kuppuru</v>
      </c>
      <c r="F60" s="190" t="str">
        <f>IF(B60&lt;&gt;"",VLOOKUP(B60,LEADS!A:J,10,FALSE),"")</f>
        <v>N R Pura</v>
      </c>
      <c r="G60" s="191">
        <f>IF(B60&lt;&gt;"",VLOOKUP(B60,LEADS!A:O,15,FALSE),"")</f>
        <v>2500</v>
      </c>
      <c r="H60" s="190">
        <v>46032.0</v>
      </c>
      <c r="I60" s="190">
        <v>46032.0</v>
      </c>
      <c r="J60" s="189"/>
      <c r="K60" s="189" t="s">
        <v>19</v>
      </c>
      <c r="L60" s="6"/>
      <c r="M60" s="189" t="s">
        <v>692</v>
      </c>
      <c r="N60" s="190"/>
      <c r="O60" s="192" t="str">
        <f>IF(AND(ISBLANK(Field_Visit[Visit Actual Date]),NOT(ISBLANK(Field_Visit[Visit Scheduled Date]))),"Scheduled",IF(NOT(ISBLANK(Field_Visit[Visit Actual Date])),"Visited",""))
</f>
        <v>Visited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22.5" customHeight="1">
      <c r="A61" s="6" t="str">
        <f t="shared" si="1"/>
        <v>FIE-0060</v>
      </c>
      <c r="B61" s="189" t="s">
        <v>752</v>
      </c>
      <c r="C61" s="6" t="str">
        <f>IF(B61&lt;&gt;"",VLOOKUP(B61,LEADS!A:E,5,FALSE),"")
</f>
        <v>Girish</v>
      </c>
      <c r="D61" s="190">
        <f>IF(B61&lt;&gt;"",VLOOKUP(B61,LEADS!A:F,6,FALSE),"")</f>
        <v>9741159943</v>
      </c>
      <c r="E61" s="190" t="str">
        <f>IF(B61&lt;&gt;"",VLOOKUP(B61,LEADS!A:I,9,FALSE),"")</f>
        <v>Dugalapura</v>
      </c>
      <c r="F61" s="190" t="str">
        <f>IF(B61&lt;&gt;"",VLOOKUP(B61,LEADS!A:J,10,FALSE),"")</f>
        <v>Tarikere</v>
      </c>
      <c r="G61" s="191">
        <f>IF(B61&lt;&gt;"",VLOOKUP(B61,LEADS!A:O,15,FALSE),"")</f>
        <v>9000</v>
      </c>
      <c r="H61" s="190">
        <v>46040.0</v>
      </c>
      <c r="I61" s="190">
        <v>46038.0</v>
      </c>
      <c r="J61" s="189" t="s">
        <v>24</v>
      </c>
      <c r="K61" s="189" t="s">
        <v>19</v>
      </c>
      <c r="L61" s="6"/>
      <c r="M61" s="189" t="s">
        <v>692</v>
      </c>
      <c r="N61" s="190"/>
      <c r="O61" s="192" t="str">
        <f>IF(AND(ISBLANK(Field_Visit[Visit Actual Date]),NOT(ISBLANK(Field_Visit[Visit Scheduled Date]))),"Scheduled",IF(NOT(ISBLANK(Field_Visit[Visit Actual Date])),"Visited",""))
</f>
        <v>Visited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22.5" customHeight="1">
      <c r="A62" s="6" t="str">
        <f t="shared" si="1"/>
        <v>FIE-0061</v>
      </c>
      <c r="B62" s="189" t="s">
        <v>753</v>
      </c>
      <c r="C62" s="6" t="str">
        <f>IF(B62&lt;&gt;"",VLOOKUP(B62,LEADS!A:E,5,FALSE),"")
</f>
        <v>Murali</v>
      </c>
      <c r="D62" s="190">
        <f>IF(B62&lt;&gt;"",VLOOKUP(B62,LEADS!A:F,6,FALSE),"")</f>
        <v>8867849048</v>
      </c>
      <c r="E62" s="190" t="str">
        <f>IF(B62&lt;&gt;"",VLOOKUP(B62,LEADS!A:I,9,FALSE),"")</f>
        <v>Dugalapura</v>
      </c>
      <c r="F62" s="190" t="str">
        <f>IF(B62&lt;&gt;"",VLOOKUP(B62,LEADS!A:J,10,FALSE),"")</f>
        <v>Tarikere</v>
      </c>
      <c r="G62" s="191">
        <f>IF(B62&lt;&gt;"",VLOOKUP(B62,LEADS!A:O,15,FALSE),"")</f>
        <v>5000</v>
      </c>
      <c r="H62" s="190">
        <v>46040.0</v>
      </c>
      <c r="I62" s="190"/>
      <c r="J62" s="189"/>
      <c r="K62" s="189"/>
      <c r="L62" s="6"/>
      <c r="M62" s="189"/>
      <c r="N62" s="190"/>
      <c r="O62" s="192" t="str">
        <f>IF(AND(ISBLANK(Field_Visit[Visit Actual Date]),NOT(ISBLANK(Field_Visit[Visit Scheduled Date]))),"Scheduled",IF(NOT(ISBLANK(Field_Visit[Visit Actual Date])),"Visited",""))
</f>
        <v>Scheduled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22.5" customHeight="1">
      <c r="A63" s="6" t="str">
        <f t="shared" si="1"/>
        <v>FIE-0062</v>
      </c>
      <c r="B63" s="189" t="s">
        <v>754</v>
      </c>
      <c r="C63" s="6" t="str">
        <f>IF(B63&lt;&gt;"",VLOOKUP(B63,LEADS!A:E,5,FALSE),"")
</f>
        <v>Kumar</v>
      </c>
      <c r="D63" s="190">
        <f>IF(B63&lt;&gt;"",VLOOKUP(B63,LEADS!A:F,6,FALSE),"")</f>
        <v>9980309766</v>
      </c>
      <c r="E63" s="190" t="str">
        <f>IF(B63&lt;&gt;"",VLOOKUP(B63,LEADS!A:I,9,FALSE),"")</f>
        <v>Rangenahalli</v>
      </c>
      <c r="F63" s="190" t="str">
        <f>IF(B63&lt;&gt;"",VLOOKUP(B63,LEADS!A:J,10,FALSE),"")</f>
        <v>Tarikere</v>
      </c>
      <c r="G63" s="191">
        <f>IF(B63&lt;&gt;"",VLOOKUP(B63,LEADS!A:O,15,FALSE),"")</f>
        <v>2500</v>
      </c>
      <c r="H63" s="190">
        <v>46040.0</v>
      </c>
      <c r="I63" s="190"/>
      <c r="J63" s="189"/>
      <c r="K63" s="189"/>
      <c r="L63" s="6"/>
      <c r="M63" s="189"/>
      <c r="N63" s="190"/>
      <c r="O63" s="192" t="str">
        <f>IF(AND(ISBLANK(Field_Visit[Visit Actual Date]),NOT(ISBLANK(Field_Visit[Visit Scheduled Date]))),"Scheduled",IF(NOT(ISBLANK(Field_Visit[Visit Actual Date])),"Visited",""))
</f>
        <v>Scheduled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22.5" customHeight="1">
      <c r="A64" s="6" t="str">
        <f t="shared" si="1"/>
        <v>FIE-0063</v>
      </c>
      <c r="B64" s="189" t="s">
        <v>755</v>
      </c>
      <c r="C64" s="6" t="str">
        <f>IF(B64&lt;&gt;"",VLOOKUP(B64,LEADS!A:E,5,FALSE),"")
</f>
        <v>Pradeep</v>
      </c>
      <c r="D64" s="190">
        <f>IF(B64&lt;&gt;"",VLOOKUP(B64,LEADS!A:F,6,FALSE),"")</f>
        <v>9743468228</v>
      </c>
      <c r="E64" s="190" t="str">
        <f>IF(B64&lt;&gt;"",VLOOKUP(B64,LEADS!A:I,9,FALSE),"")</f>
        <v>Rangenahalli</v>
      </c>
      <c r="F64" s="190" t="str">
        <f>IF(B64&lt;&gt;"",VLOOKUP(B64,LEADS!A:J,10,FALSE),"")</f>
        <v>Tarikere</v>
      </c>
      <c r="G64" s="191">
        <f>IF(B64&lt;&gt;"",VLOOKUP(B64,LEADS!A:O,15,FALSE),"")</f>
        <v>4000</v>
      </c>
      <c r="H64" s="190">
        <v>46040.0</v>
      </c>
      <c r="I64" s="190"/>
      <c r="J64" s="189"/>
      <c r="K64" s="189"/>
      <c r="L64" s="6"/>
      <c r="M64" s="189"/>
      <c r="N64" s="190"/>
      <c r="O64" s="192" t="str">
        <f>IF(AND(ISBLANK(Field_Visit[Visit Actual Date]),NOT(ISBLANK(Field_Visit[Visit Scheduled Date]))),"Scheduled",IF(NOT(ISBLANK(Field_Visit[Visit Actual Date])),"Visited",""))
</f>
        <v>Scheduled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22.5" customHeight="1">
      <c r="A65" s="6" t="str">
        <f t="shared" si="1"/>
        <v>FIE-0064</v>
      </c>
      <c r="B65" s="189" t="s">
        <v>756</v>
      </c>
      <c r="C65" s="6" t="str">
        <f>IF(B65&lt;&gt;"",VLOOKUP(B65,LEADS!A:E,5,FALSE),"")
</f>
        <v>Ramesh</v>
      </c>
      <c r="D65" s="190">
        <f>IF(B65&lt;&gt;"",VLOOKUP(B65,LEADS!A:F,6,FALSE),"")</f>
        <v>9901880325</v>
      </c>
      <c r="E65" s="190" t="str">
        <f>IF(B65&lt;&gt;"",VLOOKUP(B65,LEADS!A:I,9,FALSE),"")</f>
        <v>Basavanahalli</v>
      </c>
      <c r="F65" s="190" t="str">
        <f>IF(B65&lt;&gt;"",VLOOKUP(B65,LEADS!A:J,10,FALSE),"")</f>
        <v>Tarikere</v>
      </c>
      <c r="G65" s="191">
        <f>IF(B65&lt;&gt;"",VLOOKUP(B65,LEADS!A:O,15,FALSE),"")</f>
        <v>1300</v>
      </c>
      <c r="H65" s="190">
        <v>46040.0</v>
      </c>
      <c r="I65" s="190"/>
      <c r="J65" s="189"/>
      <c r="K65" s="189"/>
      <c r="L65" s="6"/>
      <c r="M65" s="189"/>
      <c r="N65" s="190"/>
      <c r="O65" s="192" t="str">
        <f>IF(AND(ISBLANK(Field_Visit[Visit Actual Date]),NOT(ISBLANK(Field_Visit[Visit Scheduled Date]))),"Scheduled",IF(NOT(ISBLANK(Field_Visit[Visit Actual Date])),"Visited",""))
</f>
        <v>Scheduled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22.5" hidden="1" customHeight="1">
      <c r="A66" s="6" t="str">
        <f t="shared" si="1"/>
        <v/>
      </c>
      <c r="B66" s="189"/>
      <c r="C66" s="6" t="str">
        <f>IF(B66&lt;&gt;"",VLOOKUP(B66,LEADS!A:E,5,FALSE),"")
</f>
        <v/>
      </c>
      <c r="D66" s="190" t="str">
        <f>IF(B66&lt;&gt;"",VLOOKUP(B66,LEADS!A:F,6,FALSE),"")</f>
        <v/>
      </c>
      <c r="E66" s="190" t="str">
        <f>IF(B66&lt;&gt;"",VLOOKUP(B66,LEADS!A:I,9,FALSE),"")</f>
        <v/>
      </c>
      <c r="F66" s="190" t="str">
        <f>IF(B66&lt;&gt;"",VLOOKUP(B66,LEADS!A:J,10,FALSE),"")</f>
        <v/>
      </c>
      <c r="G66" s="191" t="str">
        <f>IF(B66&lt;&gt;"",VLOOKUP(B66,LEADS!A:O,15,FALSE),"")</f>
        <v/>
      </c>
      <c r="H66" s="190"/>
      <c r="I66" s="190"/>
      <c r="J66" s="189"/>
      <c r="K66" s="189"/>
      <c r="L66" s="6"/>
      <c r="M66" s="189"/>
      <c r="N66" s="190"/>
      <c r="O66" s="192" t="str">
        <f>IF(AND(ISBLANK(Field_Visit[Visit Actual Date]),NOT(ISBLANK(Field_Visit[Visit Scheduled Date]))),"Scheduled",IF(NOT(ISBLANK(Field_Visit[Visit Actual Date])),"Visited",""))
</f>
        <v/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22.5" hidden="1" customHeight="1">
      <c r="A67" s="6" t="str">
        <f t="shared" si="1"/>
        <v/>
      </c>
      <c r="B67" s="189"/>
      <c r="C67" s="6" t="str">
        <f>IF(B67&lt;&gt;"",VLOOKUP(B67,LEADS!A:E,5,FALSE),"")
</f>
        <v/>
      </c>
      <c r="D67" s="190" t="str">
        <f>IF(B67&lt;&gt;"",VLOOKUP(B67,LEADS!A:F,6,FALSE),"")</f>
        <v/>
      </c>
      <c r="E67" s="190" t="str">
        <f>IF(B67&lt;&gt;"",VLOOKUP(B67,LEADS!A:I,9,FALSE),"")</f>
        <v/>
      </c>
      <c r="F67" s="190" t="str">
        <f>IF(B67&lt;&gt;"",VLOOKUP(B67,LEADS!A:J,10,FALSE),"")</f>
        <v/>
      </c>
      <c r="G67" s="191" t="str">
        <f>IF(B67&lt;&gt;"",VLOOKUP(B67,LEADS!A:O,15,FALSE),"")</f>
        <v/>
      </c>
      <c r="H67" s="190"/>
      <c r="I67" s="190"/>
      <c r="J67" s="189"/>
      <c r="K67" s="189"/>
      <c r="L67" s="6"/>
      <c r="M67" s="189"/>
      <c r="N67" s="190"/>
      <c r="O67" s="192" t="str">
        <f>IF(AND(ISBLANK(Field_Visit[Visit Actual Date]),NOT(ISBLANK(Field_Visit[Visit Scheduled Date]))),"Scheduled",IF(NOT(ISBLANK(Field_Visit[Visit Actual Date])),"Visited",""))
</f>
        <v/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22.5" hidden="1" customHeight="1">
      <c r="A68" s="6" t="str">
        <f t="shared" si="1"/>
        <v/>
      </c>
      <c r="B68" s="189"/>
      <c r="C68" s="6" t="str">
        <f>IF(B68&lt;&gt;"",VLOOKUP(B68,LEADS!A:E,5,FALSE),"")
</f>
        <v/>
      </c>
      <c r="D68" s="190" t="str">
        <f>IF(B68&lt;&gt;"",VLOOKUP(B68,LEADS!A:F,6,FALSE),"")</f>
        <v/>
      </c>
      <c r="E68" s="190" t="str">
        <f>IF(B68&lt;&gt;"",VLOOKUP(B68,LEADS!A:I,9,FALSE),"")</f>
        <v/>
      </c>
      <c r="F68" s="190" t="str">
        <f>IF(B68&lt;&gt;"",VLOOKUP(B68,LEADS!A:J,10,FALSE),"")</f>
        <v/>
      </c>
      <c r="G68" s="191" t="str">
        <f>IF(B68&lt;&gt;"",VLOOKUP(B68,LEADS!A:O,15,FALSE),"")</f>
        <v/>
      </c>
      <c r="H68" s="190"/>
      <c r="I68" s="190"/>
      <c r="J68" s="189"/>
      <c r="K68" s="189"/>
      <c r="L68" s="6"/>
      <c r="M68" s="189"/>
      <c r="N68" s="190"/>
      <c r="O68" s="192" t="str">
        <f>IF(AND(ISBLANK(Field_Visit[Visit Actual Date]),NOT(ISBLANK(Field_Visit[Visit Scheduled Date]))),"Scheduled",IF(NOT(ISBLANK(Field_Visit[Visit Actual Date])),"Visited",""))
</f>
        <v/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22.5" hidden="1" customHeight="1">
      <c r="A69" s="6" t="str">
        <f t="shared" si="1"/>
        <v/>
      </c>
      <c r="B69" s="189"/>
      <c r="C69" s="6" t="str">
        <f>IF(B69&lt;&gt;"",VLOOKUP(B69,LEADS!A:E,5,FALSE),"")
</f>
        <v/>
      </c>
      <c r="D69" s="190" t="str">
        <f>IF(B69&lt;&gt;"",VLOOKUP(B69,LEADS!A:F,6,FALSE),"")</f>
        <v/>
      </c>
      <c r="E69" s="190" t="str">
        <f>IF(B69&lt;&gt;"",VLOOKUP(B69,LEADS!A:I,9,FALSE),"")</f>
        <v/>
      </c>
      <c r="F69" s="190" t="str">
        <f>IF(B69&lt;&gt;"",VLOOKUP(B69,LEADS!A:J,10,FALSE),"")</f>
        <v/>
      </c>
      <c r="G69" s="191" t="str">
        <f>IF(B69&lt;&gt;"",VLOOKUP(B69,LEADS!A:O,15,FALSE),"")</f>
        <v/>
      </c>
      <c r="H69" s="190"/>
      <c r="I69" s="190"/>
      <c r="J69" s="189"/>
      <c r="K69" s="189"/>
      <c r="L69" s="6"/>
      <c r="M69" s="189"/>
      <c r="N69" s="190"/>
      <c r="O69" s="192" t="str">
        <f>IF(AND(ISBLANK(Field_Visit[Visit Actual Date]),NOT(ISBLANK(Field_Visit[Visit Scheduled Date]))),"Scheduled",IF(NOT(ISBLANK(Field_Visit[Visit Actual Date])),"Visited",""))
</f>
        <v/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22.5" hidden="1" customHeight="1">
      <c r="A70" s="6" t="str">
        <f t="shared" si="1"/>
        <v/>
      </c>
      <c r="B70" s="189"/>
      <c r="C70" s="6" t="str">
        <f>IF(B70&lt;&gt;"",VLOOKUP(B70,LEADS!A:E,5,FALSE),"")
</f>
        <v/>
      </c>
      <c r="D70" s="190" t="str">
        <f>IF(B70&lt;&gt;"",VLOOKUP(B70,LEADS!A:F,6,FALSE),"")</f>
        <v/>
      </c>
      <c r="E70" s="190" t="str">
        <f>IF(B70&lt;&gt;"",VLOOKUP(B70,LEADS!A:I,9,FALSE),"")</f>
        <v/>
      </c>
      <c r="F70" s="190" t="str">
        <f>IF(B70&lt;&gt;"",VLOOKUP(B70,LEADS!A:J,10,FALSE),"")</f>
        <v/>
      </c>
      <c r="G70" s="191" t="str">
        <f>IF(B70&lt;&gt;"",VLOOKUP(B70,LEADS!A:O,15,FALSE),"")</f>
        <v/>
      </c>
      <c r="H70" s="190"/>
      <c r="I70" s="190"/>
      <c r="J70" s="189"/>
      <c r="K70" s="189"/>
      <c r="L70" s="6"/>
      <c r="M70" s="189"/>
      <c r="N70" s="190"/>
      <c r="O70" s="192" t="str">
        <f>IF(AND(ISBLANK(Field_Visit[Visit Actual Date]),NOT(ISBLANK(Field_Visit[Visit Scheduled Date]))),"Scheduled",IF(NOT(ISBLANK(Field_Visit[Visit Actual Date])),"Visited",""))
</f>
        <v/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22.5" hidden="1" customHeight="1">
      <c r="A71" s="6" t="str">
        <f t="shared" si="1"/>
        <v/>
      </c>
      <c r="B71" s="189"/>
      <c r="C71" s="6" t="str">
        <f>IF(B71&lt;&gt;"",VLOOKUP(B71,LEADS!A:E,5,FALSE),"")
</f>
        <v/>
      </c>
      <c r="D71" s="190" t="str">
        <f>IF(B71&lt;&gt;"",VLOOKUP(B71,LEADS!A:F,6,FALSE),"")</f>
        <v/>
      </c>
      <c r="E71" s="190" t="str">
        <f>IF(B71&lt;&gt;"",VLOOKUP(B71,LEADS!A:I,9,FALSE),"")</f>
        <v/>
      </c>
      <c r="F71" s="190" t="str">
        <f>IF(B71&lt;&gt;"",VLOOKUP(B71,LEADS!A:J,10,FALSE),"")</f>
        <v/>
      </c>
      <c r="G71" s="191" t="str">
        <f>IF(B71&lt;&gt;"",VLOOKUP(B71,LEADS!A:O,15,FALSE),"")</f>
        <v/>
      </c>
      <c r="H71" s="190"/>
      <c r="I71" s="190"/>
      <c r="J71" s="189"/>
      <c r="K71" s="189"/>
      <c r="L71" s="6"/>
      <c r="M71" s="189"/>
      <c r="N71" s="190"/>
      <c r="O71" s="192" t="str">
        <f>IF(AND(ISBLANK(Field_Visit[Visit Actual Date]),NOT(ISBLANK(Field_Visit[Visit Scheduled Date]))),"Scheduled",IF(NOT(ISBLANK(Field_Visit[Visit Actual Date])),"Visited",""))
</f>
        <v/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195" t="str">
        <f t="shared" si="1"/>
        <v/>
      </c>
      <c r="B72" s="8"/>
      <c r="C72" s="8" t="str">
        <f>IF(B72&lt;&gt;"",VLOOKUP(B72,LEADS!A:D,5,FALSE),"")</f>
        <v/>
      </c>
      <c r="D72" s="196" t="str">
        <f>IF(B72&lt;&gt;"",VLOOKUP(B72,LEADS!A:F,6,FALSE),"")</f>
        <v/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 t="str">
        <f>IF(I72&lt;&gt;"","Completed",IF(H72&lt;&gt;"","Scheduled",""))</f>
        <v/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</row>
    <row r="1075" ht="15.75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</row>
    <row r="1076" ht="15.7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</row>
    <row r="1077" ht="15.7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</row>
    <row r="1078" ht="15.7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</row>
    <row r="1079" ht="15.7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</row>
    <row r="1080" ht="15.75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</row>
    <row r="1081" ht="15.75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</row>
    <row r="1082" ht="15.75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</row>
    <row r="1083" ht="15.75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</row>
    <row r="1084" ht="15.75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</row>
    <row r="1085" ht="15.75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</row>
    <row r="1086" ht="15.75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</row>
    <row r="1087" ht="15.75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</row>
    <row r="1088" ht="15.75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</row>
    <row r="1089" ht="15.75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</row>
    <row r="1090" ht="15.75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</row>
    <row r="1091" ht="15.75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</row>
    <row r="1092" ht="15.75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</row>
    <row r="1093" ht="15.75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</row>
    <row r="1094" ht="15.75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</row>
    <row r="1095" ht="15.75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</row>
    <row r="1096" ht="15.75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</row>
    <row r="1097" ht="15.75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</row>
    <row r="1098" ht="15.75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</row>
    <row r="1099" ht="15.75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</row>
    <row r="1100" ht="15.75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</row>
    <row r="1101" ht="15.75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</row>
    <row r="1102" ht="15.75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</row>
    <row r="1103" ht="15.75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</row>
    <row r="1104" ht="15.75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</row>
    <row r="1105" ht="15.75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</row>
    <row r="1106" ht="15.75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</row>
    <row r="1107" ht="15.75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</row>
    <row r="1108" ht="15.75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</row>
    <row r="1109" ht="15.75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</row>
    <row r="1110" ht="15.75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</row>
    <row r="1111" ht="15.75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</row>
    <row r="1112" ht="15.75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</row>
    <row r="1113" ht="15.75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</row>
    <row r="1114" ht="15.75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</row>
    <row r="1115" ht="15.75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</row>
    <row r="1116" ht="15.75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</row>
    <row r="1117" ht="15.75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</row>
    <row r="1118" ht="15.75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</row>
    <row r="1119" ht="15.75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</row>
    <row r="1120" ht="15.75" customHeight="1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</row>
    <row r="1121" ht="15.75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</row>
    <row r="1122" ht="15.75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</row>
    <row r="1123" ht="15.75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</row>
    <row r="1124" ht="15.75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</row>
    <row r="1125" ht="15.75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</row>
    <row r="1126" ht="15.75" customHeight="1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</row>
    <row r="1127" ht="15.75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</row>
    <row r="1128" ht="15.75" customHeight="1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</row>
    <row r="1129" ht="15.75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</row>
    <row r="1130" ht="15.75" customHeight="1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</row>
    <row r="1131" ht="15.75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</row>
    <row r="1132" ht="15.75" customHeight="1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</row>
    <row r="1133" ht="15.75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</row>
    <row r="1134" ht="15.75" customHeight="1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</row>
    <row r="1135" ht="15.75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</row>
    <row r="1136" ht="15.75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</row>
    <row r="1137" ht="15.75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</row>
    <row r="1138" ht="15.75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</row>
    <row r="1139" ht="15.75" customHeight="1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</row>
    <row r="1140" ht="15.75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</row>
    <row r="1141" ht="15.75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</row>
    <row r="1142" ht="15.75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</row>
    <row r="1143" ht="15.75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</row>
    <row r="1144" ht="15.75" customHeight="1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</row>
    <row r="1145" ht="15.75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</row>
    <row r="1146" ht="15.75" customHeight="1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</row>
    <row r="1147" ht="15.75" customHeight="1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</row>
    <row r="1148" ht="15.75" customHeight="1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</row>
    <row r="1149" ht="15.75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</row>
    <row r="1150" ht="15.75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</row>
    <row r="1151" ht="15.75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</row>
    <row r="1152" ht="15.75" customHeight="1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</row>
    <row r="1153" ht="15.75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</row>
    <row r="1154" ht="15.75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</row>
    <row r="1155" ht="15.75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</row>
    <row r="1156" ht="15.75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</row>
    <row r="1157" ht="15.75" customHeight="1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</row>
    <row r="1158" ht="15.75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</row>
    <row r="1159" ht="15.75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</row>
    <row r="1160" ht="15.75" customHeight="1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</row>
    <row r="1161" ht="15.75" customHeight="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</row>
    <row r="1162" ht="15.75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</row>
    <row r="1163" ht="15.75" customHeight="1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</row>
    <row r="1164" ht="15.75" customHeight="1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</row>
    <row r="1165" ht="15.75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</row>
    <row r="1166" ht="15.75" customHeight="1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</row>
    <row r="1167" ht="15.75" customHeight="1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</row>
    <row r="1168" ht="15.75" customHeight="1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</row>
    <row r="1169" ht="15.75" customHeight="1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</row>
    <row r="1170" ht="15.75" customHeight="1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</row>
    <row r="1171" ht="15.75" customHeight="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</row>
    <row r="1172" ht="15.75" customHeight="1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</row>
    <row r="1173" ht="15.75" customHeight="1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</row>
    <row r="1174" ht="15.75" customHeight="1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</row>
    <row r="1175" ht="15.75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</row>
    <row r="1176" ht="15.75" customHeight="1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</row>
    <row r="1177" ht="15.75" customHeight="1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</row>
    <row r="1178" ht="15.75" customHeight="1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</row>
    <row r="1179" ht="15.75" customHeight="1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</row>
    <row r="1180" ht="15.75" customHeight="1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</row>
    <row r="1181" ht="15.75" customHeight="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</row>
    <row r="1182" ht="15.75" customHeight="1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</row>
    <row r="1183" ht="15.75" customHeight="1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</row>
    <row r="1184" ht="15.75" customHeight="1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</row>
    <row r="1185" ht="15.75" customHeight="1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</row>
    <row r="1186" ht="15.75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</row>
    <row r="1187" ht="15.75" customHeight="1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</row>
    <row r="1188" ht="15.75" customHeight="1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</row>
    <row r="1189" ht="15.75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</row>
    <row r="1190" ht="15.75" customHeight="1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</row>
    <row r="1191" ht="15.75" customHeight="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</row>
    <row r="1192" ht="15.75" customHeight="1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</row>
    <row r="1193" ht="15.75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</row>
    <row r="1194" ht="15.75" customHeight="1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</row>
    <row r="1195" ht="15.75" customHeight="1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</row>
    <row r="1196" ht="15.75" customHeight="1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</row>
    <row r="1197" ht="15.75" customHeight="1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</row>
    <row r="1198" ht="15.75" customHeight="1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</row>
    <row r="1199" ht="15.75" customHeight="1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</row>
    <row r="1200" ht="15.75" customHeight="1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</row>
    <row r="1201" ht="15.75" customHeight="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</row>
    <row r="1202" ht="15.75" customHeight="1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</row>
    <row r="1203" ht="15.75" customHeight="1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</row>
    <row r="1204" ht="15.75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</row>
    <row r="1205" ht="15.75" customHeight="1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</row>
    <row r="1206" ht="15.75" customHeight="1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</row>
    <row r="1207" ht="15.75" customHeight="1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</row>
    <row r="1208" ht="15.75" customHeight="1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</row>
    <row r="1209" ht="15.75" customHeight="1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</row>
    <row r="1210" ht="15.75" customHeight="1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</row>
    <row r="1211" ht="15.75" customHeight="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</row>
    <row r="1212" ht="15.75" customHeight="1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</row>
    <row r="1213" ht="15.75" customHeight="1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</row>
    <row r="1214" ht="15.75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</row>
    <row r="1215" ht="15.75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</row>
    <row r="1216" ht="15.75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</row>
    <row r="1217" ht="15.75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</row>
    <row r="1218" ht="15.75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</row>
    <row r="1219" ht="15.75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</row>
    <row r="1220" ht="15.75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</row>
    <row r="1221" ht="15.75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</row>
    <row r="1222" ht="15.75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</row>
    <row r="1223" ht="15.75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</row>
    <row r="1224" ht="15.75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</row>
    <row r="1225" ht="15.75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</row>
    <row r="1226" ht="15.75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</row>
    <row r="1227" ht="15.75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</row>
    <row r="1228" ht="15.75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</row>
    <row r="1229" ht="15.75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</row>
    <row r="1230" ht="15.75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</row>
    <row r="1231" ht="15.75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</row>
    <row r="1232" ht="15.75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</row>
    <row r="1233" ht="15.75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</row>
    <row r="1234" ht="15.75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</row>
    <row r="1235" ht="15.75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</row>
    <row r="1236" ht="15.75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</row>
    <row r="1237" ht="15.75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</row>
    <row r="1238" ht="15.75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</row>
    <row r="1239" ht="15.75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</row>
    <row r="1240" ht="15.75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</row>
    <row r="1241" ht="15.75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</row>
    <row r="1242" ht="15.75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</row>
    <row r="1243" ht="15.75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</row>
    <row r="1244" ht="15.75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</row>
    <row r="1245" ht="15.75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</row>
    <row r="1246" ht="15.75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</row>
    <row r="1247" ht="15.75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</row>
    <row r="1248" ht="15.75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</row>
    <row r="1249" ht="15.75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</row>
    <row r="1250" ht="15.75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</row>
    <row r="1251" ht="15.75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</row>
    <row r="1252" ht="15.75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</row>
    <row r="1253" ht="15.75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</row>
    <row r="1254" ht="15.75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</row>
    <row r="1255" ht="15.75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</row>
    <row r="1256" ht="15.75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</row>
    <row r="1257" ht="15.75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</row>
    <row r="1258" ht="15.75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</row>
    <row r="1259" ht="15.75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</row>
    <row r="1260" ht="15.75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</row>
    <row r="1261" ht="15.75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</row>
    <row r="1262" ht="15.75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</row>
    <row r="1263" ht="15.75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</row>
    <row r="1264" ht="15.75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</row>
    <row r="1265" ht="15.75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</row>
    <row r="1266" ht="15.75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</row>
    <row r="1267" ht="15.75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</row>
    <row r="1268" ht="15.75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</row>
    <row r="1269" ht="15.75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</row>
    <row r="1270" ht="15.75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</row>
    <row r="1271" ht="15.75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</row>
    <row r="1272" ht="15.75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</row>
    <row r="1273" ht="15.75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</row>
    <row r="1274" ht="15.75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</row>
    <row r="1275" ht="15.75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</row>
    <row r="1276" ht="15.75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</row>
    <row r="1277" ht="15.75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</row>
    <row r="1278" ht="15.75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</row>
    <row r="1279" ht="15.75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</row>
    <row r="1280" ht="15.75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</row>
    <row r="1281" ht="15.75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</row>
    <row r="1282" ht="15.75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</row>
    <row r="1283" ht="15.75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</row>
    <row r="1284" ht="15.75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</row>
    <row r="1285" ht="15.75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</row>
    <row r="1286" ht="15.75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</row>
    <row r="1287" ht="15.75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</row>
    <row r="1288" ht="15.75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</row>
    <row r="1289" ht="15.75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</row>
    <row r="1290" ht="15.75" customHeight="1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</row>
    <row r="1291" ht="15.75" customHeight="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</row>
    <row r="1292" ht="15.75" customHeight="1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</row>
    <row r="1293" ht="15.75" customHeight="1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</row>
    <row r="1294" ht="15.75" customHeight="1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</row>
    <row r="1295" ht="15.75" customHeight="1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</row>
    <row r="1296" ht="15.75" customHeight="1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</row>
    <row r="1297" ht="15.75" customHeight="1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</row>
    <row r="1298" ht="15.75" customHeight="1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</row>
    <row r="1299" ht="15.75" customHeight="1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</row>
    <row r="1300" ht="15.75" customHeight="1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</row>
    <row r="1301" ht="15.75" customHeight="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</row>
    <row r="1302" ht="15.75" customHeight="1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</row>
    <row r="1303" ht="15.75" customHeight="1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</row>
    <row r="1304" ht="15.75" customHeight="1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</row>
    <row r="1305" ht="15.75" customHeight="1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</row>
    <row r="1306" ht="15.75" customHeight="1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</row>
    <row r="1307" ht="15.75" customHeight="1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</row>
    <row r="1308" ht="15.75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</row>
    <row r="1309" ht="15.75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</row>
    <row r="1310" ht="15.75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</row>
    <row r="1311" ht="15.75" customHeight="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</row>
    <row r="1312" ht="15.75" customHeight="1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</row>
    <row r="1313" ht="15.75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</row>
    <row r="1314" ht="15.75" customHeight="1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</row>
    <row r="1315" ht="15.75" customHeight="1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</row>
    <row r="1316" ht="15.75" customHeight="1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</row>
    <row r="1317" ht="15.75" customHeight="1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</row>
    <row r="1318" ht="15.75" customHeight="1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</row>
    <row r="1319" ht="15.75" customHeight="1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</row>
    <row r="1320" ht="15.75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</row>
    <row r="1321" ht="15.75" customHeight="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</row>
    <row r="1322" ht="15.75" customHeight="1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</row>
    <row r="1323" ht="15.75" customHeight="1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</row>
    <row r="1324" ht="15.75" customHeight="1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</row>
    <row r="1325" ht="15.75" customHeight="1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</row>
    <row r="1326" ht="15.75" customHeight="1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</row>
    <row r="1327" ht="15.75" customHeight="1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</row>
    <row r="1328" ht="15.75" customHeight="1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</row>
    <row r="1329" ht="15.75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</row>
    <row r="1330" ht="15.75" customHeight="1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</row>
    <row r="1331" ht="15.75" customHeight="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</row>
    <row r="1332" ht="15.75" customHeight="1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</row>
    <row r="1333" ht="15.75" customHeight="1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</row>
    <row r="1334" ht="15.75" customHeight="1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</row>
    <row r="1335" ht="15.75" customHeight="1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</row>
    <row r="1336" ht="15.75" customHeight="1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</row>
    <row r="1337" ht="15.75" customHeight="1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</row>
    <row r="1338" ht="15.75" customHeight="1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</row>
    <row r="1339" ht="15.75" customHeight="1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</row>
    <row r="1340" ht="15.75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</row>
    <row r="1341" ht="15.75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</row>
    <row r="1342" ht="15.75" customHeight="1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</row>
    <row r="1343" ht="15.75" customHeight="1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</row>
    <row r="1344" ht="15.75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</row>
    <row r="1345" ht="15.75" customHeight="1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</row>
    <row r="1346" ht="15.75" customHeight="1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</row>
    <row r="1347" ht="15.75" customHeight="1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</row>
    <row r="1348" ht="15.75" customHeight="1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</row>
    <row r="1349" ht="15.75" customHeight="1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</row>
    <row r="1350" ht="15.75" customHeight="1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</row>
    <row r="1351" ht="15.75" customHeight="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</row>
    <row r="1352" ht="15.75" customHeight="1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</row>
    <row r="1353" ht="15.75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</row>
    <row r="1354" ht="15.75" customHeight="1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</row>
    <row r="1355" ht="15.75" customHeight="1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</row>
    <row r="1356" ht="15.75" customHeight="1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</row>
    <row r="1357" ht="15.75" customHeight="1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</row>
    <row r="1358" ht="15.75" customHeight="1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</row>
    <row r="1359" ht="15.75" customHeight="1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</row>
    <row r="1360" ht="15.75" customHeight="1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</row>
    <row r="1361" ht="15.75" customHeight="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</row>
    <row r="1362" ht="15.75" customHeight="1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</row>
    <row r="1363" ht="15.75" customHeight="1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</row>
    <row r="1364" ht="15.75" customHeight="1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</row>
    <row r="1365" ht="15.75" customHeight="1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</row>
    <row r="1366" ht="15.75" customHeight="1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</row>
    <row r="1367" ht="15.75" customHeight="1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</row>
    <row r="1368" ht="15.75" customHeight="1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</row>
    <row r="1369" ht="15.75" customHeight="1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</row>
    <row r="1370" ht="15.75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</row>
    <row r="1371" ht="15.75" customHeight="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</row>
    <row r="1372" ht="15.75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</row>
    <row r="1373" ht="15.75" customHeight="1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</row>
    <row r="1374" ht="15.75" customHeight="1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</row>
    <row r="1375" ht="15.75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</row>
    <row r="1376" ht="15.75" customHeight="1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</row>
    <row r="1377" ht="15.75" customHeight="1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</row>
    <row r="1378" ht="15.75" customHeight="1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</row>
    <row r="1379" ht="15.75" customHeight="1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</row>
    <row r="1380" ht="15.75" customHeight="1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</row>
    <row r="1381" ht="15.75" customHeight="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</row>
    <row r="1382" ht="15.75" customHeight="1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</row>
    <row r="1383" ht="15.75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</row>
    <row r="1384" ht="15.75" customHeight="1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</row>
    <row r="1385" ht="15.75" customHeight="1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</row>
    <row r="1386" ht="15.75" customHeight="1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</row>
    <row r="1387" ht="15.75" customHeight="1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</row>
    <row r="1388" ht="15.75" customHeight="1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</row>
    <row r="1389" ht="15.75" customHeight="1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</row>
    <row r="1390" ht="15.75" customHeight="1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</row>
    <row r="1391" ht="15.75" customHeight="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</row>
    <row r="1392" ht="15.75" customHeight="1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</row>
    <row r="1393" ht="15.75" customHeight="1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</row>
    <row r="1394" ht="15.75" customHeight="1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</row>
    <row r="1395" ht="15.75" customHeight="1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</row>
    <row r="1396" ht="15.75" customHeight="1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</row>
    <row r="1397" ht="15.75" customHeight="1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</row>
    <row r="1398" ht="15.75" customHeight="1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</row>
    <row r="1399" ht="15.75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</row>
    <row r="1400" ht="15.75" customHeight="1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</row>
    <row r="1401" ht="15.75" customHeight="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</row>
    <row r="1402" ht="15.75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</row>
    <row r="1403" ht="15.75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</row>
    <row r="1404" ht="15.75" customHeight="1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</row>
    <row r="1405" ht="15.75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</row>
    <row r="1406" ht="15.75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</row>
    <row r="1407" ht="15.75" customHeight="1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</row>
    <row r="1408" ht="15.75" customHeight="1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</row>
    <row r="1409" ht="15.75" customHeight="1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</row>
    <row r="1410" ht="15.75" customHeight="1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</row>
    <row r="1411" ht="15.75" customHeight="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</row>
    <row r="1412" ht="15.75" customHeight="1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</row>
    <row r="1413" ht="15.75" customHeight="1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</row>
    <row r="1414" ht="15.75" customHeight="1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</row>
    <row r="1415" ht="15.75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</row>
    <row r="1416" ht="15.75" customHeight="1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</row>
    <row r="1417" ht="15.75" customHeight="1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</row>
    <row r="1418" ht="15.75" customHeight="1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</row>
    <row r="1419" ht="15.75" customHeight="1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</row>
    <row r="1420" ht="15.75" customHeight="1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</row>
    <row r="1421" ht="15.75" customHeight="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</row>
    <row r="1422" ht="15.75" customHeight="1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</row>
    <row r="1423" ht="15.75" customHeight="1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</row>
    <row r="1424" ht="15.75" customHeight="1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</row>
    <row r="1425" ht="15.75" customHeight="1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</row>
    <row r="1426" ht="15.75" customHeight="1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</row>
    <row r="1427" ht="15.75" customHeight="1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</row>
    <row r="1428" ht="15.75" customHeight="1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</row>
    <row r="1429" ht="15.75" customHeight="1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</row>
    <row r="1430" ht="15.75" customHeight="1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</row>
    <row r="1431" ht="15.75" customHeight="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</row>
    <row r="1432" ht="15.75" customHeight="1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</row>
    <row r="1433" ht="15.75" customHeight="1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</row>
    <row r="1434" ht="15.75" customHeight="1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</row>
    <row r="1435" ht="15.75" customHeight="1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</row>
    <row r="1436" ht="15.75" customHeight="1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</row>
    <row r="1437" ht="15.75" customHeight="1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</row>
    <row r="1438" ht="15.75" customHeight="1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</row>
    <row r="1439" ht="15.75" customHeight="1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</row>
    <row r="1440" ht="15.75" customHeight="1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</row>
    <row r="1441" ht="15.75" customHeight="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</row>
    <row r="1442" ht="15.75" customHeight="1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</row>
    <row r="1443" ht="15.75" customHeight="1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</row>
    <row r="1444" ht="15.75" customHeight="1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</row>
    <row r="1445" ht="15.75" customHeight="1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</row>
    <row r="1446" ht="15.75" customHeight="1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</row>
    <row r="1447" ht="15.75" customHeight="1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</row>
    <row r="1448" ht="15.75" customHeight="1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</row>
    <row r="1449" ht="15.75" customHeight="1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</row>
    <row r="1450" ht="15.75" customHeight="1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</row>
    <row r="1451" ht="15.75" customHeight="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</row>
    <row r="1452" ht="15.75" customHeight="1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</row>
    <row r="1453" ht="15.75" customHeight="1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</row>
    <row r="1454" ht="15.75" customHeight="1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</row>
    <row r="1455" ht="15.75" customHeight="1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</row>
    <row r="1456" ht="15.75" customHeight="1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</row>
    <row r="1457" ht="15.75" customHeight="1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</row>
    <row r="1458" ht="15.75" customHeight="1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</row>
    <row r="1459" ht="15.75" customHeight="1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</row>
    <row r="1460" ht="15.75" customHeight="1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</row>
    <row r="1461" ht="15.75" customHeight="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</row>
    <row r="1462" ht="15.75" customHeight="1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</row>
    <row r="1463" ht="15.75" customHeight="1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</row>
    <row r="1464" ht="15.75" customHeight="1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</row>
    <row r="1465" ht="15.75" customHeight="1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</row>
    <row r="1466" ht="15.75" customHeight="1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</row>
    <row r="1467" ht="15.75" customHeight="1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</row>
    <row r="1468" ht="15.75" customHeight="1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</row>
    <row r="1469" ht="15.75" customHeight="1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</row>
    <row r="1470" ht="15.75" customHeight="1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</row>
    <row r="1471" ht="15.75" customHeight="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</row>
    <row r="1472" ht="15.75" customHeight="1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</row>
    <row r="1473" ht="15.75" customHeight="1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</row>
    <row r="1474" ht="15.75" customHeight="1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</row>
    <row r="1475" ht="15.75" customHeight="1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</row>
    <row r="1476" ht="15.75" customHeight="1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</row>
    <row r="1477" ht="15.75" customHeight="1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</row>
    <row r="1478" ht="15.75" customHeight="1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</row>
    <row r="1479" ht="15.75" customHeight="1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</row>
    <row r="1480" ht="15.75" customHeight="1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</row>
    <row r="1481" ht="15.75" customHeight="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</row>
    <row r="1482" ht="15.75" customHeight="1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</row>
    <row r="1483" ht="15.75" customHeight="1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</row>
    <row r="1484" ht="15.75" customHeight="1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</row>
    <row r="1485" ht="15.75" customHeight="1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</row>
    <row r="1486" ht="15.75" customHeight="1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</row>
    <row r="1487" ht="15.75" customHeight="1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</row>
    <row r="1488" ht="15.75" customHeight="1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</row>
    <row r="1489" ht="15.75" customHeight="1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</row>
    <row r="1490" ht="15.75" customHeight="1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</row>
    <row r="1491" ht="15.75" customHeight="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</row>
    <row r="1492" ht="15.75" customHeight="1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</row>
    <row r="1493" ht="15.75" customHeight="1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</row>
    <row r="1494" ht="15.75" customHeight="1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</row>
    <row r="1495" ht="15.75" customHeight="1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</row>
    <row r="1496" ht="15.75" customHeight="1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</row>
    <row r="1497" ht="15.75" customHeight="1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</row>
    <row r="1498" ht="15.75" customHeight="1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</row>
    <row r="1499" ht="15.75" customHeight="1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</row>
    <row r="1500" ht="15.75" customHeight="1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</row>
    <row r="1501" ht="15.75" customHeight="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</row>
    <row r="1502" ht="15.75" customHeight="1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</row>
    <row r="1503" ht="15.75" customHeight="1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</row>
    <row r="1504" ht="15.75" customHeight="1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</row>
    <row r="1505" ht="15.75" customHeight="1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</row>
    <row r="1506" ht="15.75" customHeight="1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</row>
    <row r="1507" ht="15.75" customHeight="1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</row>
    <row r="1508" ht="15.75" customHeight="1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</row>
    <row r="1509" ht="15.75" customHeight="1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</row>
    <row r="1510" ht="15.75" customHeight="1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</row>
    <row r="1511" ht="15.75" customHeight="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</row>
    <row r="1512" ht="15.75" customHeight="1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</row>
    <row r="1513" ht="15.75" customHeight="1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</row>
    <row r="1514" ht="15.75" customHeight="1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</row>
    <row r="1515" ht="15.75" customHeight="1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</row>
    <row r="1516" ht="15.75" customHeight="1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</row>
    <row r="1517" ht="15.75" customHeight="1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</row>
    <row r="1518" ht="15.75" customHeight="1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</row>
    <row r="1519" ht="15.75" customHeight="1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</row>
    <row r="1520" ht="15.75" customHeight="1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</row>
    <row r="1521" ht="15.75" customHeight="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</row>
    <row r="1522" ht="15.75" customHeight="1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</row>
    <row r="1523" ht="15.75" customHeight="1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</row>
    <row r="1524" ht="15.75" customHeight="1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</row>
    <row r="1525" ht="15.75" customHeight="1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</row>
    <row r="1526" ht="15.75" customHeight="1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</row>
    <row r="1527" ht="15.75" customHeight="1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</row>
    <row r="1528" ht="15.75" customHeight="1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</row>
    <row r="1529" ht="15.75" customHeight="1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</row>
    <row r="1530" ht="15.75" customHeight="1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</row>
    <row r="1531" ht="15.75" customHeight="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</row>
    <row r="1532" ht="15.75" customHeight="1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</row>
    <row r="1533" ht="15.75" customHeight="1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</row>
    <row r="1534" ht="15.75" customHeight="1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</row>
    <row r="1535" ht="15.75" customHeight="1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</row>
    <row r="1536" ht="15.75" customHeight="1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</row>
    <row r="1537" ht="15.75" customHeight="1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</row>
    <row r="1538" ht="15.75" customHeight="1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</row>
    <row r="1539" ht="15.75" customHeight="1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</row>
    <row r="1540" ht="15.75" customHeight="1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</row>
    <row r="1541" ht="15.75" customHeight="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</row>
    <row r="1542" ht="15.75" customHeight="1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</row>
    <row r="1543" ht="15.75" customHeight="1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</row>
    <row r="1544" ht="15.75" customHeight="1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</row>
    <row r="1545" ht="15.75" customHeight="1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</row>
    <row r="1546" ht="15.75" customHeight="1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</row>
    <row r="1547" ht="15.75" customHeight="1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</row>
    <row r="1548" ht="15.75" customHeight="1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</row>
    <row r="1549" ht="15.75" customHeight="1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</row>
    <row r="1550" ht="15.75" customHeight="1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</row>
    <row r="1551" ht="15.75" customHeight="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</row>
    <row r="1552" ht="15.75" customHeight="1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</row>
    <row r="1553" ht="15.75" customHeight="1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</row>
    <row r="1554" ht="15.75" customHeight="1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</row>
    <row r="1555" ht="15.75" customHeight="1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</row>
    <row r="1556" ht="15.75" customHeight="1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</row>
    <row r="1557" ht="15.75" customHeight="1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</row>
    <row r="1558" ht="15.75" customHeight="1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</row>
    <row r="1559" ht="15.75" customHeight="1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</row>
    <row r="1560" ht="15.75" customHeight="1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</row>
    <row r="1561" ht="15.75" customHeight="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</row>
    <row r="1562" ht="15.75" customHeight="1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</row>
    <row r="1563" ht="15.75" customHeight="1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</row>
    <row r="1564" ht="15.75" customHeight="1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</row>
    <row r="1565" ht="15.75" customHeight="1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</row>
    <row r="1566" ht="15.75" customHeight="1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</row>
    <row r="1567" ht="15.75" customHeight="1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</row>
    <row r="1568" ht="15.75" customHeight="1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</row>
    <row r="1569" ht="15.75" customHeight="1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</row>
    <row r="1570" ht="15.75" customHeight="1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</row>
    <row r="1571" ht="15.75" customHeight="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</row>
    <row r="1572" ht="15.75" customHeight="1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</row>
    <row r="1573" ht="15.75" customHeight="1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</row>
    <row r="1574" ht="15.75" customHeight="1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</row>
    <row r="1575" ht="15.75" customHeight="1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</row>
    <row r="1576" ht="15.75" customHeight="1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</row>
    <row r="1577" ht="15.75" customHeight="1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</row>
    <row r="1578" ht="15.75" customHeight="1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</row>
    <row r="1579" ht="15.75" customHeight="1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</row>
    <row r="1580" ht="15.75" customHeight="1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</row>
    <row r="1581" ht="15.75" customHeight="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</row>
    <row r="1582" ht="15.75" customHeight="1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</row>
    <row r="1583" ht="15.75" customHeight="1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</row>
    <row r="1584" ht="15.75" customHeight="1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</row>
    <row r="1585" ht="15.75" customHeight="1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</row>
    <row r="1586" ht="15.75" customHeight="1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</row>
    <row r="1587" ht="15.75" customHeight="1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</row>
    <row r="1588" ht="15.75" customHeight="1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</row>
    <row r="1589" ht="15.75" customHeight="1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</row>
    <row r="1590" ht="15.75" customHeight="1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</row>
    <row r="1591" ht="15.75" customHeight="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</row>
    <row r="1592" ht="15.75" customHeight="1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</row>
    <row r="1593" ht="15.75" customHeight="1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</row>
    <row r="1594" ht="15.75" customHeight="1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</row>
    <row r="1595" ht="15.75" customHeight="1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</row>
    <row r="1596" ht="15.75" customHeight="1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</row>
    <row r="1597" ht="15.75" customHeight="1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</row>
    <row r="1598" ht="15.75" customHeight="1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</row>
    <row r="1599" ht="15.75" customHeight="1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</row>
    <row r="1600" ht="15.75" customHeight="1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</row>
    <row r="1601" ht="15.75" customHeight="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</row>
    <row r="1602" ht="15.75" customHeight="1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</row>
    <row r="1603" ht="15.75" customHeight="1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</row>
    <row r="1604" ht="15.75" customHeight="1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</row>
    <row r="1605" ht="15.75" customHeight="1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</row>
    <row r="1606" ht="15.75" customHeight="1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</row>
    <row r="1607" ht="15.75" customHeight="1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</row>
    <row r="1608" ht="15.75" customHeight="1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</row>
    <row r="1609" ht="15.75" customHeight="1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</row>
    <row r="1610" ht="15.75" customHeight="1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</row>
    <row r="1611" ht="15.75" customHeight="1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</row>
    <row r="1612" ht="15.75" customHeight="1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</row>
    <row r="1613" ht="15.75" customHeight="1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</row>
    <row r="1614" ht="15.75" customHeight="1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</row>
    <row r="1615" ht="15.75" customHeight="1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</row>
    <row r="1616" ht="15.75" customHeight="1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</row>
    <row r="1617" ht="15.75" customHeight="1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</row>
    <row r="1618" ht="15.75" customHeight="1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</row>
    <row r="1619" ht="15.75" customHeight="1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</row>
    <row r="1620" ht="15.75" customHeight="1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</row>
    <row r="1621" ht="15.75" customHeight="1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</row>
    <row r="1622" ht="15.75" customHeight="1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</row>
    <row r="1623" ht="15.75" customHeight="1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</row>
    <row r="1624" ht="15.75" customHeight="1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</row>
    <row r="1625" ht="15.75" customHeight="1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</row>
    <row r="1626" ht="15.75" customHeight="1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</row>
    <row r="1627" ht="15.75" customHeight="1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</row>
    <row r="1628" ht="15.75" customHeight="1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</row>
    <row r="1629" ht="15.75" customHeight="1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</row>
    <row r="1630" ht="15.75" customHeight="1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</row>
    <row r="1631" ht="15.75" customHeight="1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</row>
    <row r="1632" ht="15.75" customHeight="1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</row>
    <row r="1633" ht="15.75" customHeight="1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</row>
    <row r="1634" ht="15.75" customHeight="1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</row>
    <row r="1635" ht="15.75" customHeight="1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</row>
    <row r="1636" ht="15.75" customHeight="1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</row>
    <row r="1637" ht="15.75" customHeight="1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</row>
    <row r="1638" ht="15.75" customHeight="1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</row>
    <row r="1639" ht="15.75" customHeight="1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</row>
    <row r="1640" ht="15.75" customHeight="1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</row>
    <row r="1641" ht="15.75" customHeight="1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</row>
    <row r="1642" ht="15.75" customHeight="1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</row>
    <row r="1643" ht="15.75" customHeight="1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</row>
    <row r="1644" ht="15.75" customHeight="1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</row>
    <row r="1645" ht="15.75" customHeight="1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</row>
    <row r="1646" ht="15.75" customHeight="1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</row>
    <row r="1647" ht="15.75" customHeight="1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</row>
    <row r="1648" ht="15.75" customHeight="1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</row>
    <row r="1649" ht="15.75" customHeight="1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</row>
    <row r="1650" ht="15.75" customHeight="1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</row>
    <row r="1651" ht="15.75" customHeight="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</row>
    <row r="1652" ht="15.75" customHeight="1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</row>
    <row r="1653" ht="15.75" customHeight="1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</row>
    <row r="1654" ht="15.75" customHeight="1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</row>
    <row r="1655" ht="15.75" customHeight="1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</row>
    <row r="1656" ht="15.75" customHeight="1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</row>
    <row r="1657" ht="15.75" customHeight="1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</row>
    <row r="1658" ht="15.75" customHeight="1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</row>
    <row r="1659" ht="15.75" customHeight="1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</row>
    <row r="1660" ht="15.75" customHeight="1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</row>
    <row r="1661" ht="15.75" customHeight="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</row>
    <row r="1662" ht="15.75" customHeight="1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</row>
    <row r="1663" ht="15.75" customHeight="1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</row>
    <row r="1664" ht="15.75" customHeight="1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</row>
    <row r="1665" ht="15.75" customHeight="1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</row>
    <row r="1666" ht="15.75" customHeight="1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</row>
    <row r="1667" ht="15.75" customHeight="1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</row>
    <row r="1668" ht="15.75" customHeight="1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</row>
    <row r="1669" ht="15.75" customHeight="1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</row>
    <row r="1670" ht="15.75" customHeight="1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</row>
    <row r="1671" ht="15.75" customHeight="1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</row>
    <row r="1672" ht="15.75" customHeight="1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</row>
    <row r="1673" ht="15.75" customHeight="1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</row>
    <row r="1674" ht="15.75" customHeight="1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</row>
    <row r="1675" ht="15.75" customHeight="1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</row>
    <row r="1676" ht="15.75" customHeight="1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</row>
    <row r="1677" ht="15.75" customHeight="1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</row>
    <row r="1678" ht="15.75" customHeight="1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</row>
    <row r="1679" ht="15.75" customHeight="1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</row>
    <row r="1680" ht="15.75" customHeight="1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</row>
    <row r="1681" ht="15.75" customHeight="1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</row>
    <row r="1682" ht="15.75" customHeight="1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</row>
    <row r="1683" ht="15.75" customHeight="1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</row>
    <row r="1684" ht="15.75" customHeight="1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</row>
    <row r="1685" ht="15.75" customHeight="1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</row>
    <row r="1686" ht="15.75" customHeight="1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</row>
    <row r="1687" ht="15.75" customHeight="1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</row>
    <row r="1688" ht="15.75" customHeight="1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</row>
    <row r="1689" ht="15.75" customHeight="1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</row>
    <row r="1690" ht="15.75" customHeight="1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</row>
    <row r="1691" ht="15.75" customHeight="1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</row>
    <row r="1692" ht="15.75" customHeight="1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</row>
    <row r="1693" ht="15.75" customHeight="1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</row>
    <row r="1694" ht="15.75" customHeight="1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</row>
    <row r="1695" ht="15.75" customHeight="1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</row>
    <row r="1696" ht="15.75" customHeight="1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</row>
    <row r="1697" ht="15.75" customHeight="1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</row>
    <row r="1698" ht="15.75" customHeight="1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</row>
    <row r="1699" ht="15.75" customHeight="1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</row>
    <row r="1700" ht="15.75" customHeight="1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</row>
    <row r="1701" ht="15.75" customHeight="1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</row>
    <row r="1702" ht="15.75" customHeight="1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</row>
    <row r="1703" ht="15.75" customHeight="1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</row>
    <row r="1704" ht="15.75" customHeight="1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</row>
    <row r="1705" ht="15.75" customHeight="1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</row>
    <row r="1706" ht="15.75" customHeight="1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</row>
    <row r="1707" ht="15.75" customHeight="1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</row>
    <row r="1708" ht="15.75" customHeight="1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</row>
    <row r="1709" ht="15.75" customHeight="1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</row>
    <row r="1710" ht="15.75" customHeight="1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</row>
    <row r="1711" ht="15.75" customHeight="1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</row>
    <row r="1712" ht="15.75" customHeight="1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</row>
    <row r="1713" ht="15.75" customHeight="1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</row>
    <row r="1714" ht="15.75" customHeight="1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</row>
    <row r="1715" ht="15.75" customHeight="1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</row>
    <row r="1716" ht="15.75" customHeight="1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</row>
    <row r="1717" ht="15.75" customHeight="1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</row>
    <row r="1718" ht="15.75" customHeight="1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</row>
    <row r="1719" ht="15.75" customHeight="1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</row>
    <row r="1720" ht="15.75" customHeight="1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</row>
    <row r="1721" ht="15.75" customHeight="1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</row>
    <row r="1722" ht="15.75" customHeight="1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</row>
    <row r="1723" ht="15.75" customHeight="1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</row>
    <row r="1724" ht="15.75" customHeight="1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</row>
    <row r="1725" ht="15.75" customHeight="1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</row>
    <row r="1726" ht="15.75" customHeight="1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</row>
    <row r="1727" ht="15.75" customHeight="1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</row>
    <row r="1728" ht="15.75" customHeight="1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</row>
    <row r="1729" ht="15.75" customHeight="1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</row>
    <row r="1730" ht="15.75" customHeight="1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</row>
    <row r="1731" ht="15.75" customHeight="1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</row>
    <row r="1732" ht="15.75" customHeight="1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</row>
    <row r="1733" ht="15.75" customHeight="1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</row>
    <row r="1734" ht="15.75" customHeight="1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</row>
    <row r="1735" ht="15.75" customHeight="1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</row>
    <row r="1736" ht="15.75" customHeight="1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</row>
    <row r="1737" ht="15.75" customHeight="1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</row>
    <row r="1738" ht="15.75" customHeight="1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</row>
    <row r="1739" ht="15.75" customHeight="1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</row>
    <row r="1740" ht="15.75" customHeight="1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</row>
    <row r="1741" ht="15.75" customHeight="1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</row>
    <row r="1742" ht="15.75" customHeight="1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</row>
    <row r="1743" ht="15.75" customHeight="1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</row>
    <row r="1744" ht="15.75" customHeight="1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</row>
    <row r="1745" ht="15.75" customHeight="1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</row>
    <row r="1746" ht="15.75" customHeight="1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</row>
    <row r="1747" ht="15.75" customHeight="1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</row>
    <row r="1748" ht="15.75" customHeight="1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</row>
    <row r="1749" ht="15.75" customHeight="1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</row>
    <row r="1750" ht="15.75" customHeight="1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</row>
    <row r="1751" ht="15.75" customHeight="1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</row>
    <row r="1752" ht="15.75" customHeight="1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</row>
    <row r="1753" ht="15.75" customHeight="1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</row>
    <row r="1754" ht="15.75" customHeight="1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</row>
    <row r="1755" ht="15.75" customHeight="1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</row>
    <row r="1756" ht="15.75" customHeight="1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</row>
    <row r="1757" ht="15.75" customHeight="1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</row>
    <row r="1758" ht="15.75" customHeight="1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</row>
    <row r="1759" ht="15.75" customHeight="1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</row>
    <row r="1760" ht="15.75" customHeight="1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</row>
    <row r="1761" ht="15.75" customHeight="1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</row>
    <row r="1762" ht="15.75" customHeight="1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</row>
    <row r="1763" ht="15.75" customHeight="1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</row>
    <row r="1764" ht="15.75" customHeight="1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</row>
    <row r="1765" ht="15.75" customHeight="1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</row>
    <row r="1766" ht="15.75" customHeight="1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</row>
    <row r="1767" ht="15.75" customHeight="1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</row>
    <row r="1768" ht="15.75" customHeight="1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</row>
    <row r="1769" ht="15.75" customHeight="1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</row>
    <row r="1770" ht="15.75" customHeight="1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</row>
    <row r="1771" ht="15.75" customHeight="1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</row>
    <row r="1772" ht="15.75" customHeight="1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</row>
    <row r="1773" ht="15.75" customHeight="1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</row>
    <row r="1774" ht="15.75" customHeight="1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</row>
    <row r="1775" ht="15.75" customHeight="1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</row>
    <row r="1776" ht="15.75" customHeight="1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</row>
    <row r="1777" ht="15.75" customHeight="1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</row>
    <row r="1778" ht="15.75" customHeight="1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</row>
    <row r="1779" ht="15.75" customHeight="1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</row>
    <row r="1780" ht="15.75" customHeight="1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</row>
    <row r="1781" ht="15.75" customHeight="1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</row>
    <row r="1782" ht="15.75" customHeight="1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</row>
    <row r="1783" ht="15.75" customHeight="1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</row>
    <row r="1784" ht="15.75" customHeight="1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</row>
    <row r="1785" ht="15.75" customHeight="1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</row>
    <row r="1786" ht="15.75" customHeight="1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</row>
    <row r="1787" ht="15.75" customHeight="1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</row>
    <row r="1788" ht="15.75" customHeight="1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</row>
    <row r="1789" ht="15.75" customHeight="1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</row>
    <row r="1790" ht="15.75" customHeight="1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</row>
    <row r="1791" ht="15.75" customHeight="1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</row>
    <row r="1792" ht="15.75" customHeight="1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</row>
    <row r="1793" ht="15.75" customHeight="1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</row>
    <row r="1794" ht="15.75" customHeight="1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</row>
    <row r="1795" ht="15.75" customHeight="1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</row>
    <row r="1796" ht="15.75" customHeight="1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</row>
    <row r="1797" ht="15.75" customHeight="1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</row>
    <row r="1798" ht="15.75" customHeight="1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</row>
    <row r="1799" ht="15.75" customHeight="1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</row>
    <row r="1800" ht="15.75" customHeight="1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</row>
    <row r="1801" ht="15.75" customHeight="1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</row>
    <row r="1802" ht="15.75" customHeight="1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</row>
    <row r="1803" ht="15.75" customHeight="1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</row>
    <row r="1804" ht="15.75" customHeight="1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</row>
    <row r="1805" ht="15.75" customHeight="1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</row>
    <row r="1806" ht="15.75" customHeight="1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</row>
    <row r="1807" ht="15.75" customHeight="1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</row>
    <row r="1808" ht="15.75" customHeight="1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</row>
    <row r="1809" ht="15.75" customHeight="1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</row>
    <row r="1810" ht="15.75" customHeight="1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</row>
    <row r="1811" ht="15.75" customHeight="1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</row>
    <row r="1812" ht="15.75" customHeight="1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</row>
    <row r="1813" ht="15.75" customHeight="1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</row>
    <row r="1814" ht="15.75" customHeight="1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</row>
    <row r="1815" ht="15.75" customHeight="1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</row>
    <row r="1816" ht="15.75" customHeight="1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</row>
    <row r="1817" ht="15.75" customHeight="1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</row>
    <row r="1818" ht="15.75" customHeight="1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</row>
    <row r="1819" ht="15.75" customHeight="1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</row>
    <row r="1820" ht="15.75" customHeight="1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</row>
    <row r="1821" ht="15.75" customHeight="1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</row>
    <row r="1822" ht="15.75" customHeight="1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</row>
    <row r="1823" ht="15.75" customHeight="1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</row>
    <row r="1824" ht="15.75" customHeight="1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</row>
    <row r="1825" ht="15.75" customHeight="1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</row>
    <row r="1826" ht="15.75" customHeight="1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</row>
    <row r="1827" ht="15.75" customHeight="1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</row>
    <row r="1828" ht="15.75" customHeight="1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</row>
    <row r="1829" ht="15.75" customHeight="1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</row>
    <row r="1830" ht="15.75" customHeight="1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</row>
    <row r="1831" ht="15.75" customHeight="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</row>
    <row r="1832" ht="15.75" customHeight="1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</row>
    <row r="1833" ht="15.75" customHeight="1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</row>
    <row r="1834" ht="15.75" customHeight="1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</row>
    <row r="1835" ht="15.75" customHeight="1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</row>
    <row r="1836" ht="15.75" customHeight="1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</row>
    <row r="1837" ht="15.75" customHeight="1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</row>
    <row r="1838" ht="15.75" customHeight="1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</row>
    <row r="1839" ht="15.75" customHeight="1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</row>
    <row r="1840" ht="15.75" customHeight="1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</row>
    <row r="1841" ht="15.75" customHeight="1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</row>
    <row r="1842" ht="15.75" customHeight="1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</row>
    <row r="1843" ht="15.75" customHeight="1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</row>
    <row r="1844" ht="15.75" customHeight="1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</row>
    <row r="1845" ht="15.75" customHeight="1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</row>
    <row r="1846" ht="15.75" customHeight="1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</row>
    <row r="1847" ht="15.75" customHeight="1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</row>
    <row r="1848" ht="15.75" customHeight="1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</row>
    <row r="1849" ht="15.75" customHeight="1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</row>
    <row r="1850" ht="15.75" customHeight="1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</row>
    <row r="1851" ht="15.75" customHeight="1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</row>
    <row r="1852" ht="15.75" customHeight="1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</row>
    <row r="1853" ht="15.75" customHeight="1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</row>
    <row r="1854" ht="15.75" customHeight="1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</row>
    <row r="1855" ht="15.75" customHeight="1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</row>
    <row r="1856" ht="15.75" customHeight="1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</row>
    <row r="1857" ht="15.75" customHeight="1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</row>
    <row r="1858" ht="15.75" customHeight="1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</row>
    <row r="1859" ht="15.75" customHeight="1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</row>
    <row r="1860" ht="15.75" customHeight="1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</row>
    <row r="1861" ht="15.75" customHeight="1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</row>
    <row r="1862" ht="15.75" customHeight="1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</row>
    <row r="1863" ht="15.75" customHeight="1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</row>
    <row r="1864" ht="15.75" customHeight="1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</row>
    <row r="1865" ht="15.75" customHeight="1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</row>
    <row r="1866" ht="15.75" customHeight="1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</row>
    <row r="1867" ht="15.75" customHeight="1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</row>
    <row r="1868" ht="15.75" customHeight="1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</row>
    <row r="1869" ht="15.75" customHeight="1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</row>
    <row r="1870" ht="15.75" customHeight="1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</row>
    <row r="1871" ht="15.75" customHeight="1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</row>
    <row r="1872" ht="15.75" customHeight="1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</row>
    <row r="1873" ht="15.75" customHeight="1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</row>
    <row r="1874" ht="15.75" customHeight="1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</row>
    <row r="1875" ht="15.75" customHeight="1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</row>
    <row r="1876" ht="15.75" customHeight="1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</row>
    <row r="1877" ht="15.75" customHeight="1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</row>
    <row r="1878" ht="15.75" customHeight="1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</row>
    <row r="1879" ht="15.75" customHeight="1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</row>
    <row r="1880" ht="15.75" customHeight="1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</row>
    <row r="1881" ht="15.75" customHeight="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</row>
    <row r="1882" ht="15.75" customHeight="1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</row>
    <row r="1883" ht="15.75" customHeight="1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</row>
    <row r="1884" ht="15.75" customHeight="1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</row>
    <row r="1885" ht="15.75" customHeight="1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</row>
    <row r="1886" ht="15.75" customHeight="1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</row>
    <row r="1887" ht="15.75" customHeight="1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</row>
    <row r="1888" ht="15.75" customHeight="1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</row>
    <row r="1889" ht="15.75" customHeight="1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</row>
    <row r="1890" ht="15.75" customHeight="1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</row>
    <row r="1891" ht="15.75" customHeight="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</row>
    <row r="1892" ht="15.75" customHeight="1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</row>
    <row r="1893" ht="15.75" customHeight="1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</row>
    <row r="1894" ht="15.75" customHeight="1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</row>
    <row r="1895" ht="15.75" customHeight="1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</row>
    <row r="1896" ht="15.75" customHeight="1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</row>
    <row r="1897" ht="15.75" customHeight="1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</row>
    <row r="1898" ht="15.75" customHeight="1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</row>
    <row r="1899" ht="15.75" customHeight="1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</row>
    <row r="1900" ht="15.75" customHeight="1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</row>
    <row r="1901" ht="15.75" customHeight="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</row>
    <row r="1902" ht="15.75" customHeight="1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</row>
    <row r="1903" ht="15.75" customHeight="1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</row>
    <row r="1904" ht="15.75" customHeight="1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</row>
    <row r="1905" ht="15.75" customHeight="1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</row>
    <row r="1906" ht="15.75" customHeight="1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</row>
    <row r="1907" ht="15.75" customHeight="1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</row>
    <row r="1908" ht="15.75" customHeight="1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</row>
    <row r="1909" ht="15.75" customHeight="1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</row>
    <row r="1910" ht="15.75" customHeight="1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</row>
    <row r="1911" ht="15.75" customHeight="1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</row>
    <row r="1912" ht="15.75" customHeight="1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</row>
    <row r="1913" ht="15.75" customHeight="1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</row>
    <row r="1914" ht="15.75" customHeight="1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</row>
    <row r="1915" ht="15.75" customHeight="1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</row>
    <row r="1916" ht="15.75" customHeight="1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</row>
    <row r="1917" ht="15.75" customHeight="1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</row>
    <row r="1918" ht="15.75" customHeight="1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</row>
    <row r="1919" ht="15.75" customHeight="1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</row>
    <row r="1920" ht="15.75" customHeight="1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</row>
    <row r="1921" ht="15.75" customHeight="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</row>
    <row r="1922" ht="15.75" customHeight="1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</row>
    <row r="1923" ht="15.75" customHeight="1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</row>
    <row r="1924" ht="15.75" customHeight="1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</row>
    <row r="1925" ht="15.75" customHeight="1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</row>
    <row r="1926" ht="15.75" customHeight="1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</row>
    <row r="1927" ht="15.75" customHeight="1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</row>
    <row r="1928" ht="15.75" customHeight="1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</row>
    <row r="1929" ht="15.75" customHeight="1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</row>
    <row r="1930" ht="15.75" customHeight="1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</row>
    <row r="1931" ht="15.75" customHeight="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</row>
    <row r="1932" ht="15.75" customHeight="1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</row>
    <row r="1933" ht="15.75" customHeight="1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</row>
    <row r="1934" ht="15.75" customHeight="1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</row>
    <row r="1935" ht="15.75" customHeight="1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</row>
    <row r="1936" ht="15.75" customHeight="1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</row>
    <row r="1937" ht="15.75" customHeight="1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</row>
    <row r="1938" ht="15.75" customHeight="1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</row>
    <row r="1939" ht="15.75" customHeight="1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</row>
    <row r="1940" ht="15.75" customHeight="1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</row>
    <row r="1941" ht="15.75" customHeight="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</row>
    <row r="1942" ht="15.75" customHeight="1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</row>
    <row r="1943" ht="15.75" customHeight="1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</row>
    <row r="1944" ht="15.75" customHeight="1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</row>
    <row r="1945" ht="15.75" customHeight="1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</row>
    <row r="1946" ht="15.75" customHeight="1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</row>
    <row r="1947" ht="15.75" customHeight="1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</row>
    <row r="1948" ht="15.75" customHeight="1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</row>
    <row r="1949" ht="15.75" customHeight="1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</row>
    <row r="1950" ht="15.75" customHeight="1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</row>
    <row r="1951" ht="15.75" customHeight="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</row>
    <row r="1952" ht="15.75" customHeight="1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</row>
    <row r="1953" ht="15.75" customHeight="1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</row>
    <row r="1954" ht="15.75" customHeight="1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</row>
    <row r="1955" ht="15.75" customHeight="1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</row>
    <row r="1956" ht="15.75" customHeight="1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</row>
    <row r="1957" ht="15.75" customHeight="1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</row>
    <row r="1958" ht="15.75" customHeight="1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</row>
    <row r="1959" ht="15.75" customHeight="1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</row>
    <row r="1960" ht="15.75" customHeight="1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</row>
    <row r="1961" ht="15.75" customHeight="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</row>
    <row r="1962" ht="15.75" customHeight="1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</row>
    <row r="1963" ht="15.75" customHeight="1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</row>
    <row r="1964" ht="15.75" customHeight="1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</row>
    <row r="1965" ht="15.75" customHeight="1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</row>
    <row r="1966" ht="15.75" customHeight="1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</row>
    <row r="1967" ht="15.75" customHeight="1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</row>
    <row r="1968" ht="15.75" customHeight="1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</row>
    <row r="1969" ht="15.75" customHeight="1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</row>
    <row r="1970" ht="15.75" customHeight="1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</row>
    <row r="1971" ht="15.75" customHeight="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</row>
    <row r="1972" ht="15.75" customHeight="1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</row>
    <row r="1973" ht="15.75" customHeight="1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</row>
    <row r="1974" ht="15.75" customHeight="1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</row>
    <row r="1975" ht="15.75" customHeight="1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</row>
    <row r="1976" ht="15.75" customHeight="1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</row>
    <row r="1977" ht="15.75" customHeight="1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</row>
    <row r="1978" ht="15.75" customHeight="1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</row>
    <row r="1979" ht="15.75" customHeight="1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</row>
    <row r="1980" ht="15.75" customHeight="1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</row>
    <row r="1981" ht="15.75" customHeight="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</row>
    <row r="1982" ht="15.75" customHeight="1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</row>
    <row r="1983" ht="15.75" customHeight="1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</row>
    <row r="1984" ht="15.75" customHeight="1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</row>
    <row r="1985" ht="15.75" customHeight="1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</row>
    <row r="1986" ht="15.75" customHeight="1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</row>
    <row r="1987" ht="15.75" customHeight="1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</row>
    <row r="1988" ht="15.75" customHeight="1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</row>
    <row r="1989" ht="15.75" customHeight="1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</row>
    <row r="1990" ht="15.75" customHeight="1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</row>
    <row r="1991" ht="15.75" customHeight="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</row>
    <row r="1992" ht="15.75" customHeight="1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</row>
    <row r="1993" ht="15.75" customHeight="1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</row>
    <row r="1994" ht="15.75" customHeight="1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</row>
    <row r="1995" ht="15.75" customHeight="1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</row>
    <row r="1996" ht="15.75" customHeight="1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</row>
    <row r="1997" ht="15.75" customHeight="1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</row>
    <row r="1998" ht="15.75" customHeight="1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</row>
    <row r="1999" ht="15.75" customHeight="1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</row>
    <row r="2000" ht="15.75" customHeight="1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</row>
    <row r="2001" ht="15.75" customHeight="1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</row>
    <row r="2002" ht="15.75" customHeight="1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</row>
    <row r="2003" ht="15.75" customHeight="1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</row>
    <row r="2004" ht="15.75" customHeight="1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</row>
    <row r="2005" ht="15.75" customHeight="1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</row>
    <row r="2006" ht="15.75" customHeight="1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</row>
    <row r="2007" ht="15.75" customHeight="1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</row>
    <row r="2008" ht="15.75" customHeight="1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</row>
    <row r="2009" ht="15.75" customHeight="1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</row>
    <row r="2010" ht="15.75" customHeight="1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</row>
    <row r="2011" ht="15.75" customHeight="1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</row>
    <row r="2012" ht="15.75" customHeight="1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</row>
    <row r="2013" ht="15.75" customHeight="1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</row>
    <row r="2014" ht="15.75" customHeight="1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</row>
    <row r="2015" ht="15.75" customHeight="1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</row>
    <row r="2016" ht="15.75" customHeight="1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</row>
    <row r="2017" ht="15.75" customHeight="1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</row>
    <row r="2018" ht="15.75" customHeight="1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</row>
    <row r="2019" ht="15.75" customHeight="1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</row>
    <row r="2020" ht="15.75" customHeight="1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</row>
    <row r="2021" ht="15.75" customHeight="1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</row>
    <row r="2022" ht="15.75" customHeight="1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</row>
    <row r="2023" ht="15.75" customHeight="1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</row>
    <row r="2024" ht="15.75" customHeight="1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</row>
    <row r="2025" ht="15.75" customHeight="1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</row>
    <row r="2026" ht="15.75" customHeight="1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</row>
    <row r="2027" ht="15.75" customHeight="1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</row>
    <row r="2028" ht="15.75" customHeight="1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</row>
    <row r="2029" ht="15.75" customHeight="1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</row>
    <row r="2030" ht="15.75" customHeight="1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</row>
    <row r="2031" ht="15.75" customHeight="1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</row>
    <row r="2032" ht="15.75" customHeight="1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</row>
    <row r="2033" ht="15.75" customHeight="1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</row>
    <row r="2034" ht="15.75" customHeight="1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</row>
    <row r="2035" ht="15.75" customHeight="1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</row>
    <row r="2036" ht="15.75" customHeight="1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</row>
    <row r="2037" ht="15.75" customHeight="1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</row>
    <row r="2038" ht="15.75" customHeight="1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</row>
    <row r="2039" ht="15.75" customHeight="1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</row>
    <row r="2040" ht="15.75" customHeight="1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</row>
    <row r="2041" ht="15.75" customHeight="1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</row>
    <row r="2042" ht="15.75" customHeight="1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</row>
    <row r="2043" ht="15.75" customHeight="1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</row>
    <row r="2044" ht="15.75" customHeight="1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</row>
    <row r="2045" ht="15.75" customHeight="1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</row>
    <row r="2046" ht="15.75" customHeight="1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</row>
    <row r="2047" ht="15.75" customHeight="1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</row>
    <row r="2048" ht="15.75" customHeight="1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</row>
    <row r="2049" ht="15.75" customHeight="1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</row>
    <row r="2050" ht="15.75" customHeight="1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</row>
    <row r="2051" ht="15.75" customHeight="1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</row>
    <row r="2052" ht="15.75" customHeight="1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</row>
    <row r="2053" ht="15.75" customHeight="1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</row>
    <row r="2054" ht="15.75" customHeight="1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</row>
    <row r="2055" ht="15.75" customHeight="1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</row>
    <row r="2056" ht="15.75" customHeight="1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</row>
    <row r="2057" ht="15.75" customHeight="1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</row>
    <row r="2058" ht="15.75" customHeight="1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</row>
    <row r="2059" ht="15.75" customHeight="1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</row>
    <row r="2060" ht="15.75" customHeight="1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</row>
    <row r="2061" ht="15.75" customHeight="1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</row>
    <row r="2062" ht="15.75" customHeight="1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</row>
    <row r="2063" ht="15.75" customHeight="1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</row>
    <row r="2064" ht="15.75" customHeight="1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</row>
    <row r="2065" ht="15.75" customHeight="1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</row>
    <row r="2066" ht="15.75" customHeight="1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</row>
    <row r="2067" ht="15.75" customHeight="1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</row>
    <row r="2068" ht="15.75" customHeight="1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</row>
    <row r="2069" ht="15.75" customHeight="1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</row>
  </sheetData>
  <dataValidations>
    <dataValidation type="list" allowBlank="1" sqref="M2:M71">
      <formula1>"Yes,No"</formula1>
    </dataValidation>
    <dataValidation type="custom" allowBlank="1" showDropDown="1" sqref="H2:I71 N2:N71">
      <formula1>OR(NOT(ISERROR(DATEVALUE(H2))), AND(ISNUMBER(H2), LEFT(CELL("format", H2))="D"))</formula1>
    </dataValidation>
    <dataValidation type="custom" allowBlank="1" showDropDown="1" sqref="G2:G71">
      <formula1>AND(ISNUMBER(G2),(NOT(OR(NOT(ISERROR(DATEVALUE(G2))), AND(ISNUMBER(G2), LEFT(CELL("format", G2))="D")))))</formula1>
    </dataValidation>
    <dataValidation type="list" allowBlank="1" sqref="B2:B71 J2:K71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9.0"/>
    <col customWidth="1" min="4" max="4" width="21.43"/>
    <col customWidth="1" min="5" max="6" width="19.29"/>
    <col customWidth="1" min="7" max="7" width="21.43"/>
    <col customWidth="1" min="8" max="8" width="23.71"/>
    <col customWidth="1" min="9" max="9" width="20.14"/>
    <col customWidth="1" min="10" max="16" width="19.0"/>
    <col customWidth="1" min="17" max="17" width="28.29"/>
    <col customWidth="1" min="18" max="24" width="19.0"/>
  </cols>
  <sheetData>
    <row r="1" ht="22.5" customHeight="1">
      <c r="A1" s="197" t="s">
        <v>757</v>
      </c>
      <c r="B1" s="197" t="s">
        <v>682</v>
      </c>
      <c r="C1" s="197" t="s">
        <v>758</v>
      </c>
      <c r="D1" s="197" t="s">
        <v>106</v>
      </c>
      <c r="E1" s="197" t="s">
        <v>759</v>
      </c>
      <c r="F1" s="197" t="s">
        <v>760</v>
      </c>
      <c r="G1" s="197" t="s">
        <v>761</v>
      </c>
      <c r="H1" s="197" t="s">
        <v>762</v>
      </c>
      <c r="I1" s="197" t="s">
        <v>763</v>
      </c>
      <c r="J1" s="197" t="s">
        <v>764</v>
      </c>
      <c r="K1" s="197" t="s">
        <v>765</v>
      </c>
      <c r="L1" s="197" t="s">
        <v>766</v>
      </c>
      <c r="M1" s="197" t="s">
        <v>767</v>
      </c>
      <c r="N1" s="197" t="s">
        <v>768</v>
      </c>
      <c r="O1" s="197" t="s">
        <v>769</v>
      </c>
      <c r="P1" s="197" t="s">
        <v>770</v>
      </c>
      <c r="Q1" s="197" t="s">
        <v>771</v>
      </c>
      <c r="R1" s="197" t="s">
        <v>117</v>
      </c>
    </row>
    <row r="2" ht="23.25" customHeight="1">
      <c r="A2" s="6" t="str">
        <f t="shared" ref="A2:A8" si="1">IF(B2&lt;&gt;"","QUO-"&amp;TEXT(ROW()-1,"0000"),"")
</f>
        <v>QUO-0001</v>
      </c>
      <c r="B2" s="198" t="s">
        <v>772</v>
      </c>
      <c r="C2" s="6" t="str">
        <f>IF(B2&lt;&gt;"",VLOOKUP(B2,'FIELD VISITS'!A:B,2,FALSE),"")</f>
        <v>LEA-0001</v>
      </c>
      <c r="D2" s="6" t="str">
        <f>IF(B2&lt;&gt;"",VLOOKUP(B2,'FIELD VISITS'!A:C,3,FALSE),"")</f>
        <v>Natesh</v>
      </c>
      <c r="E2" s="199">
        <v>45958.0</v>
      </c>
      <c r="F2" s="200">
        <v>230000.0</v>
      </c>
      <c r="G2" s="198" t="s">
        <v>25</v>
      </c>
      <c r="H2" s="198" t="s">
        <v>33</v>
      </c>
      <c r="I2" s="199">
        <v>45958.0</v>
      </c>
      <c r="J2" s="200">
        <v>230000.0</v>
      </c>
      <c r="K2" s="198" t="s">
        <v>53</v>
      </c>
      <c r="L2" s="192"/>
      <c r="M2" s="199"/>
      <c r="N2" s="6"/>
      <c r="O2" s="199"/>
      <c r="P2" s="6"/>
      <c r="Q2" s="6"/>
      <c r="R2" s="201">
        <f t="shared" ref="R2:R7" si="2">IF(E2&lt;&gt;"",TODAY(),"")</f>
        <v>46039</v>
      </c>
    </row>
    <row r="3" ht="23.25" customHeight="1">
      <c r="A3" s="6" t="str">
        <f t="shared" si="1"/>
        <v>QUO-0002</v>
      </c>
      <c r="B3" s="198" t="s">
        <v>773</v>
      </c>
      <c r="C3" s="6" t="str">
        <f>IF(B3&lt;&gt;"",VLOOKUP(B3,'FIELD VISITS'!A:B,2,FALSE),"")</f>
        <v>LEA-0003</v>
      </c>
      <c r="D3" s="6" t="str">
        <f>IF(B3&lt;&gt;"",VLOOKUP(B3,'FIELD VISITS'!A:C,3,FALSE),"")</f>
        <v>Dr Srinivas</v>
      </c>
      <c r="E3" s="199">
        <v>45955.0</v>
      </c>
      <c r="F3" s="200">
        <v>121080.0</v>
      </c>
      <c r="G3" s="198" t="s">
        <v>37</v>
      </c>
      <c r="H3" s="198" t="s">
        <v>67</v>
      </c>
      <c r="I3" s="199">
        <v>45955.0</v>
      </c>
      <c r="J3" s="200">
        <v>121080.0</v>
      </c>
      <c r="K3" s="198" t="s">
        <v>53</v>
      </c>
      <c r="L3" s="192"/>
      <c r="M3" s="199"/>
      <c r="N3" s="6"/>
      <c r="O3" s="199"/>
      <c r="P3" s="6"/>
      <c r="Q3" s="192" t="s">
        <v>774</v>
      </c>
      <c r="R3" s="201">
        <f t="shared" si="2"/>
        <v>46039</v>
      </c>
    </row>
    <row r="4" ht="23.25" customHeight="1">
      <c r="A4" s="6" t="str">
        <f t="shared" si="1"/>
        <v>QUO-0003</v>
      </c>
      <c r="B4" s="198" t="s">
        <v>775</v>
      </c>
      <c r="C4" s="6" t="str">
        <f>IF(B4&lt;&gt;"",VLOOKUP(B4,'FIELD VISITS'!A:B,2,FALSE),"")</f>
        <v>LEA-0002</v>
      </c>
      <c r="D4" s="6" t="str">
        <f>IF(B4&lt;&gt;"",VLOOKUP(B4,'FIELD VISITS'!A:C,3,FALSE),"")</f>
        <v>Asha Rani</v>
      </c>
      <c r="E4" s="199">
        <v>45934.0</v>
      </c>
      <c r="F4" s="200">
        <v>167010.0</v>
      </c>
      <c r="G4" s="198" t="s">
        <v>37</v>
      </c>
      <c r="H4" s="198" t="s">
        <v>44</v>
      </c>
      <c r="I4" s="199">
        <v>45954.0</v>
      </c>
      <c r="J4" s="200"/>
      <c r="K4" s="198"/>
      <c r="L4" s="192"/>
      <c r="M4" s="199"/>
      <c r="N4" s="6"/>
      <c r="O4" s="199"/>
      <c r="P4" s="6"/>
      <c r="Q4" s="192" t="s">
        <v>776</v>
      </c>
      <c r="R4" s="201">
        <f t="shared" si="2"/>
        <v>46039</v>
      </c>
    </row>
    <row r="5" ht="23.25" customHeight="1">
      <c r="A5" s="6" t="str">
        <f t="shared" si="1"/>
        <v>QUO-0004</v>
      </c>
      <c r="B5" s="198" t="s">
        <v>777</v>
      </c>
      <c r="C5" s="6" t="str">
        <f>IF(B5&lt;&gt;"",VLOOKUP(B5,'FIELD VISITS'!A:B,2,FALSE),"")</f>
        <v>LEA-0004</v>
      </c>
      <c r="D5" s="6" t="str">
        <f>IF(B5&lt;&gt;"",VLOOKUP(B5,'FIELD VISITS'!A:C,3,FALSE),"")</f>
        <v>Imran Syed Chand</v>
      </c>
      <c r="E5" s="199">
        <v>45930.0</v>
      </c>
      <c r="F5" s="200">
        <v>312800.0</v>
      </c>
      <c r="G5" s="198" t="s">
        <v>37</v>
      </c>
      <c r="H5" s="198" t="s">
        <v>44</v>
      </c>
      <c r="I5" s="199"/>
      <c r="J5" s="200"/>
      <c r="K5" s="198"/>
      <c r="L5" s="192"/>
      <c r="M5" s="199"/>
      <c r="N5" s="6"/>
      <c r="O5" s="199"/>
      <c r="P5" s="6"/>
      <c r="Q5" s="192"/>
      <c r="R5" s="201">
        <f t="shared" si="2"/>
        <v>46039</v>
      </c>
    </row>
    <row r="6" ht="23.25" customHeight="1">
      <c r="A6" s="6" t="str">
        <f t="shared" si="1"/>
        <v>QUO-0005</v>
      </c>
      <c r="B6" s="198" t="s">
        <v>778</v>
      </c>
      <c r="C6" s="6" t="str">
        <f>IF(B6&lt;&gt;"",VLOOKUP(B6,'FIELD VISITS'!A:B,2,FALSE),"")</f>
        <v>LEA-0093</v>
      </c>
      <c r="D6" s="6" t="str">
        <f>IF(B6&lt;&gt;"",VLOOKUP(B6,'FIELD VISITS'!A:C,3,FALSE),"")</f>
        <v>Imtiyaz</v>
      </c>
      <c r="E6" s="199">
        <v>46006.0</v>
      </c>
      <c r="F6" s="200">
        <v>82360.0</v>
      </c>
      <c r="G6" s="198" t="s">
        <v>37</v>
      </c>
      <c r="H6" s="198" t="s">
        <v>67</v>
      </c>
      <c r="I6" s="199">
        <v>46016.0</v>
      </c>
      <c r="J6" s="200">
        <v>82360.0</v>
      </c>
      <c r="K6" s="198" t="s">
        <v>45</v>
      </c>
      <c r="L6" s="192"/>
      <c r="M6" s="199"/>
      <c r="N6" s="192">
        <v>2360.0</v>
      </c>
      <c r="O6" s="199"/>
      <c r="P6" s="6"/>
      <c r="Q6" s="192"/>
      <c r="R6" s="201">
        <f t="shared" si="2"/>
        <v>46039</v>
      </c>
    </row>
    <row r="7" ht="23.25" customHeight="1">
      <c r="A7" s="6" t="str">
        <f t="shared" si="1"/>
        <v>QUO-0006</v>
      </c>
      <c r="B7" s="198" t="s">
        <v>779</v>
      </c>
      <c r="C7" s="6" t="str">
        <f>IF(B7&lt;&gt;"",VLOOKUP(B7,'FIELD VISITS'!A:B,2,FALSE),"")</f>
        <v>LEA-0390</v>
      </c>
      <c r="D7" s="6"/>
      <c r="E7" s="199"/>
      <c r="F7" s="200"/>
      <c r="G7" s="198"/>
      <c r="H7" s="198"/>
      <c r="I7" s="199"/>
      <c r="J7" s="200"/>
      <c r="K7" s="198"/>
      <c r="L7" s="192"/>
      <c r="M7" s="199"/>
      <c r="N7" s="192"/>
      <c r="O7" s="199"/>
      <c r="P7" s="6"/>
      <c r="Q7" s="192"/>
      <c r="R7" s="6" t="str">
        <f t="shared" si="2"/>
        <v/>
      </c>
    </row>
    <row r="8">
      <c r="A8" s="195" t="str">
        <f t="shared" si="1"/>
        <v/>
      </c>
      <c r="D8" s="202" t="str">
        <f>IF(B8&lt;&gt;"",VLOOKUP(B8,LEADS!A:D,5,FALSE),"")</f>
        <v/>
      </c>
      <c r="N8" s="202" t="str">
        <f>IF(AND(F8&lt;&gt;"",L8&lt;&gt;""),F8-L8,"")</f>
        <v/>
      </c>
      <c r="R8" s="202" t="str">
        <f>IF(B8&lt;&gt;"",TODAY(),"")</f>
        <v/>
      </c>
    </row>
    <row r="15">
      <c r="L15" s="20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ataValidations>
    <dataValidation type="custom" allowBlank="1" showDropDown="1" sqref="E2:E7 I2:I7 M2:M7 O2:O7">
      <formula1>OR(NOT(ISERROR(DATEVALUE(E2))), AND(ISNUMBER(E2), LEFT(CELL("format", E2))="D"))</formula1>
    </dataValidation>
    <dataValidation type="custom" allowBlank="1" showDropDown="1" sqref="F2:F7">
      <formula1>AND(ISNUMBER(F2),(NOT(OR(NOT(ISERROR(DATEVALUE(F2))), AND(ISNUMBER(F2), LEFT(CELL("format", F2))="D")))))</formula1>
    </dataValidation>
    <dataValidation type="list" allowBlank="1" sqref="B2:B7 G2:H7 K2:K7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6.29"/>
    <col customWidth="1" min="3" max="3" width="15.0"/>
    <col customWidth="1" min="4" max="4" width="16.57"/>
    <col customWidth="1" min="5" max="5" width="22.0"/>
    <col customWidth="1" min="6" max="7" width="12.0"/>
    <col customWidth="1" min="8" max="25" width="8.71"/>
  </cols>
  <sheetData>
    <row r="4">
      <c r="A4" s="204"/>
      <c r="B4" s="204"/>
      <c r="C4" s="204"/>
    </row>
    <row r="5">
      <c r="A5" s="205"/>
      <c r="B5" s="206"/>
      <c r="C5" s="207"/>
    </row>
    <row r="6">
      <c r="A6" s="205"/>
      <c r="B6" s="205"/>
      <c r="C6" s="208"/>
    </row>
    <row r="7">
      <c r="A7" s="205"/>
      <c r="B7" s="205"/>
      <c r="C7" s="208"/>
    </row>
    <row r="8">
      <c r="A8" s="205"/>
      <c r="B8" s="205"/>
      <c r="C8" s="208"/>
    </row>
    <row r="15">
      <c r="E15" s="209"/>
    </row>
  </sheetData>
  <printOptions/>
  <pageMargins bottom="1.0" footer="0.0" header="0.0" left="0.75" right="0.75" top="1.0"/>
  <pageSetup orientation="landscape"/>
  <drawing r:id="rId1"/>
</worksheet>
</file>